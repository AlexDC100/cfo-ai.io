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<sst xmlns="http://schemas.openxmlformats.org/spreadsheetml/2006/main" count="530" uniqueCount="98">
  <si>
    <t xml:space="preserve">EXEMPLU ANONIMIZAT - date fictive. Format model pentru incarcarea analizei de produse (SKU). Nu contine date reale.</t>
  </si>
  <si>
    <t xml:space="preserve">Row ID</t>
  </si>
  <si>
    <t xml:space="preserve">Canal</t>
  </si>
  <si>
    <t xml:space="preserve">Client</t>
  </si>
  <si>
    <t xml:space="preserve">Tip client</t>
  </si>
  <si>
    <t xml:space="preserve">CLIENT_PARINTE</t>
  </si>
  <si>
    <t xml:space="preserve">BU</t>
  </si>
  <si>
    <t xml:space="preserve">Categ_Pr</t>
  </si>
  <si>
    <t xml:space="preserve">Brand</t>
  </si>
  <si>
    <t xml:space="preserve">Denumire_Produs</t>
  </si>
  <si>
    <t xml:space="preserve">PackSize</t>
  </si>
  <si>
    <t xml:space="preserve">Sold in KG</t>
  </si>
  <si>
    <t xml:space="preserve">GR Gross Revenue finished goods</t>
  </si>
  <si>
    <t xml:space="preserve">Discounts basis - ON invoice</t>
  </si>
  <si>
    <t xml:space="preserve">Discounts X + N - ON invoice</t>
  </si>
  <si>
    <t xml:space="preserve">NIV TURNOVER - Net Invoiced</t>
  </si>
  <si>
    <t xml:space="preserve">Discounts OFF invoice - TTS</t>
  </si>
  <si>
    <t xml:space="preserve">Discounts OFF invoice - provisions</t>
  </si>
  <si>
    <t xml:space="preserve">Disc Off %</t>
  </si>
  <si>
    <t xml:space="preserve">NIP REVENUE -Net in Pocket</t>
  </si>
  <si>
    <t xml:space="preserve">Raw materials</t>
  </si>
  <si>
    <t xml:space="preserve">Pack materials</t>
  </si>
  <si>
    <t xml:space="preserve">Secondary Pack materials</t>
  </si>
  <si>
    <t xml:space="preserve">Direct Material Cost</t>
  </si>
  <si>
    <t xml:space="preserve">Direct Material Cost %</t>
  </si>
  <si>
    <t xml:space="preserve">Transportation &amp; DiscountLogistic</t>
  </si>
  <si>
    <t xml:space="preserve">(reserved)</t>
  </si>
  <si>
    <t xml:space="preserve">Direct Margin</t>
  </si>
  <si>
    <t xml:space="preserve">Direct Margin %</t>
  </si>
  <si>
    <t xml:space="preserve">Conversion Costs wo Depr</t>
  </si>
  <si>
    <t xml:space="preserve">Warehousing Costs</t>
  </si>
  <si>
    <t xml:space="preserve">Environment Tax</t>
  </si>
  <si>
    <t xml:space="preserve">Sales</t>
  </si>
  <si>
    <t xml:space="preserve">GM 2</t>
  </si>
  <si>
    <t xml:space="preserve">GM 2 wo Dep %</t>
  </si>
  <si>
    <t xml:space="preserve">Volume(to)</t>
  </si>
  <si>
    <t xml:space="preserve">NIV (kRon)</t>
  </si>
  <si>
    <t xml:space="preserve">GM (kRon)</t>
  </si>
  <si>
    <t xml:space="preserve">Inventory value</t>
  </si>
  <si>
    <t xml:space="preserve">COGS</t>
  </si>
  <si>
    <t xml:space="preserve">DIO (days)</t>
  </si>
  <si>
    <t xml:space="preserve">KA</t>
  </si>
  <si>
    <t xml:space="preserve">RETAIL ALPHA</t>
  </si>
  <si>
    <t xml:space="preserve">Sauces</t>
  </si>
  <si>
    <t xml:space="preserve">SOSURI</t>
  </si>
  <si>
    <t xml:space="preserve">BRAND-ONE</t>
  </si>
  <si>
    <t xml:space="preserve">BRAND-ONE Peas green</t>
  </si>
  <si>
    <t xml:space="preserve">RETAIL BETA</t>
  </si>
  <si>
    <t xml:space="preserve">Diverse</t>
  </si>
  <si>
    <t xml:space="preserve">CONGELATE</t>
  </si>
  <si>
    <t xml:space="preserve">BRAND-TWO</t>
  </si>
  <si>
    <t xml:space="preserve">BRAND-TWO Peas green</t>
  </si>
  <si>
    <t xml:space="preserve">Export</t>
  </si>
  <si>
    <t xml:space="preserve">WHOLESALE EPSILON</t>
  </si>
  <si>
    <t xml:space="preserve">GEN</t>
  </si>
  <si>
    <t xml:space="preserve">Frozen</t>
  </si>
  <si>
    <t xml:space="preserve">LEGUME CONSERVATE</t>
  </si>
  <si>
    <t xml:space="preserve">BRAND-ONE Tomato cubes</t>
  </si>
  <si>
    <t xml:space="preserve">Traditional</t>
  </si>
  <si>
    <t xml:space="preserve">CONDIMENTE</t>
  </si>
  <si>
    <t xml:space="preserve">BRAND-TWO Corn sweet</t>
  </si>
  <si>
    <t xml:space="preserve">Discounter</t>
  </si>
  <si>
    <t xml:space="preserve">BRAND-ONE Corn sweet</t>
  </si>
  <si>
    <t xml:space="preserve">BRAND-THREE</t>
  </si>
  <si>
    <t xml:space="preserve">BRAND-THREE Beans white</t>
  </si>
  <si>
    <t xml:space="preserve">BRAND-THREE Mixed vegetables</t>
  </si>
  <si>
    <t xml:space="preserve">DISTRIB GAMMA</t>
  </si>
  <si>
    <t xml:space="preserve">Preserves</t>
  </si>
  <si>
    <t xml:space="preserve">BRAND-THREE Tomato cubes</t>
  </si>
  <si>
    <t xml:space="preserve">BRAND-THREE Ketchup classic</t>
  </si>
  <si>
    <t xml:space="preserve">BRAND-ONE Beans white</t>
  </si>
  <si>
    <t xml:space="preserve">BRAND-TWO Pickled mix</t>
  </si>
  <si>
    <t xml:space="preserve">BRAND-ONE Tomato sauce</t>
  </si>
  <si>
    <t xml:space="preserve">BRAND-ONE Beans red</t>
  </si>
  <si>
    <t xml:space="preserve">BRAND-THREE Tomato sauce</t>
  </si>
  <si>
    <t xml:space="preserve">BRAND-THREE Tomato whole</t>
  </si>
  <si>
    <t xml:space="preserve">BRAND-TWO Mixed vegetables</t>
  </si>
  <si>
    <t xml:space="preserve">BRAND-TWO Ketchup classic</t>
  </si>
  <si>
    <t xml:space="preserve">BRAND-ONE Tomato whole</t>
  </si>
  <si>
    <t xml:space="preserve">EXPORT DELTA</t>
  </si>
  <si>
    <t xml:space="preserve">BRAND-ONE Ketchup classic</t>
  </si>
  <si>
    <t xml:space="preserve">BRAND-TWO Tomato whole</t>
  </si>
  <si>
    <t xml:space="preserve">BRAND-TWO Beans red</t>
  </si>
  <si>
    <t xml:space="preserve">BRAND-THREE Peas green</t>
  </si>
  <si>
    <t xml:space="preserve">BRAND-TWO Tomato sauce</t>
  </si>
  <si>
    <t xml:space="preserve">BRAND-TWO Beans white</t>
  </si>
  <si>
    <t xml:space="preserve">BRAND-THREE Beans red</t>
  </si>
  <si>
    <t xml:space="preserve">BRAND-TWO Tomato cubes</t>
  </si>
  <si>
    <t xml:space="preserve">BRAND-ONE Pickled mix</t>
  </si>
  <si>
    <t xml:space="preserve">TOTAL</t>
  </si>
  <si>
    <t xml:space="preserve">Company working-capital roll-up (illustrative)</t>
  </si>
  <si>
    <t xml:space="preserve">DIO (days) — from rows with inventory+COGS</t>
  </si>
  <si>
    <t xml:space="preserve">DSO (days) — company, from receivables (trial balance)</t>
  </si>
  <si>
    <t xml:space="preserve">45.0  (example)</t>
  </si>
  <si>
    <t xml:space="preserve">DPO (days) — company, from payables (trial balance)</t>
  </si>
  <si>
    <t xml:space="preserve">38.0  (example)</t>
  </si>
  <si>
    <t xml:space="preserve">CCC = DIO + DSO − DPO (days)</t>
  </si>
  <si>
    <t xml:space="preserve">Note: DSO/DPO shown as examples — in the app these come from the period trial balance; CCC is a company roll-up, not per-SKU.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</si>
</sst>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&quot;&quot;"/>
    <numFmt numFmtId="166" formatCode="0.0%"/>
    <numFmt numFmtId="167" formatCode="#,##0.0;;&quot;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B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B2A4A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A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J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1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10" min="10" style="1" width="9"/>
    <col collapsed="false" customWidth="true" hidden="false" outlineLevel="0" max="37" min="11" style="1" width="15"/>
    <col collapsed="false" customWidth="true" hidden="false" outlineLevel="0" max="40" min="38" style="0" width="15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3" customFormat="false" ht="32.2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</row>
    <row r="4" customFormat="false" ht="15" hidden="false" customHeight="true" outlineLevel="0" collapsed="false">
      <c r="A4" s="4" t="n">
        <v>1</v>
      </c>
      <c r="B4" s="4" t="s">
        <v>41</v>
      </c>
      <c r="C4" s="4" t="s">
        <v>42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n">
        <v>400</v>
      </c>
      <c r="K4" s="5" t="n">
        <v>8217.38</v>
      </c>
      <c r="L4" s="5" t="n">
        <v>83624.49</v>
      </c>
      <c r="M4" s="5" t="n">
        <v>145.4</v>
      </c>
      <c r="N4" s="5" t="n">
        <v>4272.88</v>
      </c>
      <c r="O4" s="5" t="n">
        <v>79206.21</v>
      </c>
      <c r="P4" s="5" t="n">
        <v>8156.63</v>
      </c>
      <c r="Q4" s="5" t="n">
        <v>-865.87</v>
      </c>
      <c r="R4" s="6" t="n">
        <v>0.092048</v>
      </c>
      <c r="S4" s="5" t="n">
        <v>71915.45</v>
      </c>
      <c r="T4" s="5" t="n">
        <v>45731.78</v>
      </c>
      <c r="U4" s="5" t="n">
        <v>2952.95</v>
      </c>
      <c r="V4" s="5" t="n">
        <v>1005.14</v>
      </c>
      <c r="W4" s="5" t="n">
        <v>49689.87</v>
      </c>
      <c r="X4" s="6" t="n">
        <v>0.690948</v>
      </c>
      <c r="Y4" s="5" t="n">
        <v>2840.41</v>
      </c>
      <c r="Z4" s="5"/>
      <c r="AA4" s="5" t="n">
        <v>19385.17</v>
      </c>
      <c r="AB4" s="6" t="n">
        <v>0.269555</v>
      </c>
      <c r="AC4" s="5" t="n">
        <v>3333.15</v>
      </c>
      <c r="AD4" s="5" t="n">
        <v>1036.22</v>
      </c>
      <c r="AE4" s="5" t="n">
        <v>241.42</v>
      </c>
      <c r="AF4" s="5" t="n">
        <v>1301.26</v>
      </c>
      <c r="AG4" s="5" t="n">
        <v>13473.12</v>
      </c>
      <c r="AH4" s="6" t="n">
        <v>0.187347</v>
      </c>
      <c r="AI4" s="5" t="n">
        <v>8.2174</v>
      </c>
      <c r="AJ4" s="5" t="n">
        <v>79.206</v>
      </c>
      <c r="AK4" s="5" t="n">
        <v>13.473</v>
      </c>
      <c r="AL4" s="5" t="n">
        <v>16266.47</v>
      </c>
      <c r="AM4" s="5" t="n">
        <v>49619.06</v>
      </c>
      <c r="AN4" s="7" t="n">
        <f aca="false">IF(AND(ISNUMBER(AM4),AM4&lt;&gt;0),AL4/AM4*365,"")</f>
        <v>119.656872782354</v>
      </c>
    </row>
    <row r="5" customFormat="false" ht="15" hidden="false" customHeight="true" outlineLevel="0" collapsed="false">
      <c r="A5" s="4" t="n">
        <v>2</v>
      </c>
      <c r="B5" s="4" t="s">
        <v>41</v>
      </c>
      <c r="C5" s="4" t="s">
        <v>47</v>
      </c>
      <c r="D5" s="4" t="s">
        <v>41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n">
        <v>540</v>
      </c>
      <c r="K5" s="5" t="n">
        <v>11499.39</v>
      </c>
      <c r="L5" s="5" t="n">
        <v>97857.32</v>
      </c>
      <c r="M5" s="5" t="n">
        <v>181.52</v>
      </c>
      <c r="N5" s="5" t="n">
        <v>3408.94</v>
      </c>
      <c r="O5" s="5" t="n">
        <v>94266.86</v>
      </c>
      <c r="P5" s="5" t="n">
        <v>17415.75</v>
      </c>
      <c r="Q5" s="5" t="n">
        <v>-2845.57</v>
      </c>
      <c r="R5" s="6" t="n">
        <v>0.154563</v>
      </c>
      <c r="S5" s="5" t="n">
        <v>79696.68</v>
      </c>
      <c r="T5" s="5" t="n">
        <v>54768.5</v>
      </c>
      <c r="U5" s="5" t="n">
        <v>5514.16</v>
      </c>
      <c r="V5" s="5" t="n">
        <v>1651.68</v>
      </c>
      <c r="W5" s="5" t="n">
        <v>61934.34</v>
      </c>
      <c r="X5" s="6" t="n">
        <v>0.777126</v>
      </c>
      <c r="Y5" s="5" t="n">
        <v>3920.56</v>
      </c>
      <c r="Z5" s="5"/>
      <c r="AA5" s="5" t="n">
        <v>13841.78</v>
      </c>
      <c r="AB5" s="6" t="n">
        <v>0.173681</v>
      </c>
      <c r="AC5" s="5" t="n">
        <v>3295.94</v>
      </c>
      <c r="AD5" s="5" t="n">
        <v>1676.88</v>
      </c>
      <c r="AE5" s="5" t="n">
        <v>344.1</v>
      </c>
      <c r="AF5" s="5" t="n">
        <v>1289.91</v>
      </c>
      <c r="AG5" s="5" t="n">
        <v>7234.95</v>
      </c>
      <c r="AH5" s="6" t="n">
        <v>0.090781</v>
      </c>
      <c r="AI5" s="5" t="n">
        <v>11.4994</v>
      </c>
      <c r="AJ5" s="5" t="n">
        <v>94.267</v>
      </c>
      <c r="AK5" s="5" t="n">
        <v>7.235</v>
      </c>
      <c r="AL5" s="5" t="n">
        <v>13567.88</v>
      </c>
      <c r="AM5" s="5" t="n">
        <v>59510.57</v>
      </c>
      <c r="AN5" s="7" t="n">
        <f aca="false">IF(AND(ISNUMBER(AM5),AM5&lt;&gt;0),AL5/AM5*365,"")</f>
        <v>83.2167495623046</v>
      </c>
    </row>
    <row r="6" customFormat="false" ht="15" hidden="false" customHeight="true" outlineLevel="0" collapsed="false">
      <c r="A6" s="4" t="n">
        <v>3</v>
      </c>
      <c r="B6" s="4" t="s">
        <v>52</v>
      </c>
      <c r="C6" s="4" t="s">
        <v>53</v>
      </c>
      <c r="D6" s="4" t="s">
        <v>54</v>
      </c>
      <c r="E6" s="4" t="s">
        <v>53</v>
      </c>
      <c r="F6" s="4" t="s">
        <v>55</v>
      </c>
      <c r="G6" s="4" t="s">
        <v>56</v>
      </c>
      <c r="H6" s="4" t="s">
        <v>45</v>
      </c>
      <c r="I6" s="4" t="s">
        <v>57</v>
      </c>
      <c r="J6" s="4" t="n">
        <v>720</v>
      </c>
      <c r="K6" s="5" t="n">
        <v>11827.09</v>
      </c>
      <c r="L6" s="5" t="n">
        <v>119050.93</v>
      </c>
      <c r="M6" s="5" t="n">
        <v>2063.11</v>
      </c>
      <c r="N6" s="5" t="n">
        <v>5834.25</v>
      </c>
      <c r="O6" s="5" t="n">
        <v>111153.57</v>
      </c>
      <c r="P6" s="5" t="n">
        <v>16155.17</v>
      </c>
      <c r="Q6" s="5" t="n">
        <v>-4635.72</v>
      </c>
      <c r="R6" s="6" t="n">
        <v>0.103635</v>
      </c>
      <c r="S6" s="5" t="n">
        <v>99634.12</v>
      </c>
      <c r="T6" s="5" t="n">
        <v>57553.77</v>
      </c>
      <c r="U6" s="5" t="n">
        <v>5401.25</v>
      </c>
      <c r="V6" s="5" t="n">
        <v>2331.79</v>
      </c>
      <c r="W6" s="5" t="n">
        <v>65286.81</v>
      </c>
      <c r="X6" s="6" t="n">
        <v>0.655266</v>
      </c>
      <c r="Y6" s="5" t="n">
        <v>4090.44</v>
      </c>
      <c r="Z6" s="5"/>
      <c r="AA6" s="5" t="n">
        <v>30256.87</v>
      </c>
      <c r="AB6" s="6" t="n">
        <v>0.30368</v>
      </c>
      <c r="AC6" s="5" t="n">
        <v>5032.16</v>
      </c>
      <c r="AD6" s="5" t="n">
        <v>1138.62</v>
      </c>
      <c r="AE6" s="5" t="n">
        <v>352.7</v>
      </c>
      <c r="AF6" s="5" t="n">
        <v>1528.53</v>
      </c>
      <c r="AG6" s="5" t="n">
        <v>22204.86</v>
      </c>
      <c r="AH6" s="6" t="n">
        <v>0.222864</v>
      </c>
      <c r="AI6" s="5" t="n">
        <v>11.8271</v>
      </c>
      <c r="AJ6" s="5" t="n">
        <v>111.154</v>
      </c>
      <c r="AK6" s="5" t="n">
        <v>22.205</v>
      </c>
      <c r="AL6" s="5" t="n">
        <v>7080.45</v>
      </c>
      <c r="AM6" s="5" t="n">
        <v>62590.45</v>
      </c>
      <c r="AN6" s="7" t="n">
        <f aca="false">IF(AND(ISNUMBER(AM6),AM6&lt;&gt;0),AL6/AM6*365,"")</f>
        <v>41.2900730063452</v>
      </c>
    </row>
    <row r="7" customFormat="false" ht="15" hidden="false" customHeight="true" outlineLevel="0" collapsed="false">
      <c r="A7" s="4" t="n">
        <v>4</v>
      </c>
      <c r="B7" s="4" t="s">
        <v>58</v>
      </c>
      <c r="C7" s="4" t="s">
        <v>47</v>
      </c>
      <c r="D7" s="4" t="s">
        <v>54</v>
      </c>
      <c r="E7" s="4" t="s">
        <v>47</v>
      </c>
      <c r="F7" s="4" t="s">
        <v>48</v>
      </c>
      <c r="G7" s="4" t="s">
        <v>59</v>
      </c>
      <c r="H7" s="4" t="s">
        <v>50</v>
      </c>
      <c r="I7" s="4" t="s">
        <v>60</v>
      </c>
      <c r="J7" s="4" t="n">
        <v>540</v>
      </c>
      <c r="K7" s="5" t="n">
        <v>8309.99</v>
      </c>
      <c r="L7" s="5" t="n">
        <v>83337.2</v>
      </c>
      <c r="M7" s="5" t="n">
        <v>1293.39</v>
      </c>
      <c r="N7" s="5" t="n">
        <v>3454.53</v>
      </c>
      <c r="O7" s="5" t="n">
        <v>78589.28</v>
      </c>
      <c r="P7" s="5" t="n">
        <v>8111.2</v>
      </c>
      <c r="Q7" s="5" t="n">
        <v>-1239.56</v>
      </c>
      <c r="R7" s="6" t="n">
        <v>0.087437</v>
      </c>
      <c r="S7" s="5" t="n">
        <v>71717.64</v>
      </c>
      <c r="T7" s="5" t="n">
        <v>42709</v>
      </c>
      <c r="U7" s="5" t="n">
        <v>3473.95</v>
      </c>
      <c r="V7" s="5" t="n">
        <v>2069.64</v>
      </c>
      <c r="W7" s="5" t="n">
        <v>48252.59</v>
      </c>
      <c r="X7" s="6" t="n">
        <v>0.672813</v>
      </c>
      <c r="Y7" s="5" t="n">
        <v>3319.88</v>
      </c>
      <c r="Z7" s="5"/>
      <c r="AA7" s="5" t="n">
        <v>20145.17</v>
      </c>
      <c r="AB7" s="6" t="n">
        <v>0.280896</v>
      </c>
      <c r="AC7" s="5" t="n">
        <v>2828.57</v>
      </c>
      <c r="AD7" s="5" t="n">
        <v>1657.31</v>
      </c>
      <c r="AE7" s="5" t="n">
        <v>185.21</v>
      </c>
      <c r="AF7" s="5" t="n">
        <v>1373.07</v>
      </c>
      <c r="AG7" s="5" t="n">
        <v>14101.01</v>
      </c>
      <c r="AH7" s="6" t="n">
        <v>0.196618</v>
      </c>
      <c r="AI7" s="5" t="n">
        <v>8.31</v>
      </c>
      <c r="AJ7" s="5" t="n">
        <v>78.589</v>
      </c>
      <c r="AK7" s="5" t="n">
        <v>14.101</v>
      </c>
      <c r="AL7" s="5" t="n">
        <v>6452.91</v>
      </c>
      <c r="AM7" s="5" t="n">
        <v>48978.64</v>
      </c>
      <c r="AN7" s="7" t="n">
        <f aca="false">IF(AND(ISNUMBER(AM7),AM7&lt;&gt;0),AL7/AM7*365,"")</f>
        <v>48.088557583469</v>
      </c>
    </row>
    <row r="8" customFormat="false" ht="15" hidden="false" customHeight="true" outlineLevel="0" collapsed="false">
      <c r="A8" s="4" t="n">
        <v>5</v>
      </c>
      <c r="B8" s="4" t="s">
        <v>61</v>
      </c>
      <c r="C8" s="4" t="s">
        <v>47</v>
      </c>
      <c r="D8" s="4" t="s">
        <v>54</v>
      </c>
      <c r="E8" s="4" t="s">
        <v>47</v>
      </c>
      <c r="F8" s="4" t="s">
        <v>43</v>
      </c>
      <c r="G8" s="4" t="s">
        <v>44</v>
      </c>
      <c r="H8" s="4" t="s">
        <v>45</v>
      </c>
      <c r="I8" s="4" t="s">
        <v>62</v>
      </c>
      <c r="J8" s="4" t="n">
        <v>1000</v>
      </c>
      <c r="K8" s="5" t="n">
        <v>3374.08</v>
      </c>
      <c r="L8" s="5" t="n">
        <v>31222.92</v>
      </c>
      <c r="M8" s="5" t="n">
        <v>560.65</v>
      </c>
      <c r="N8" s="5" t="n">
        <v>1560.21</v>
      </c>
      <c r="O8" s="5" t="n">
        <v>29102.06</v>
      </c>
      <c r="P8" s="5" t="n">
        <v>3548.47</v>
      </c>
      <c r="Q8" s="5" t="n">
        <v>-1451.52</v>
      </c>
      <c r="R8" s="6" t="n">
        <v>0.072055</v>
      </c>
      <c r="S8" s="5" t="n">
        <v>27005.11</v>
      </c>
      <c r="T8" s="5" t="n">
        <v>17191.98</v>
      </c>
      <c r="U8" s="5" t="n">
        <v>1178.41</v>
      </c>
      <c r="V8" s="5" t="n">
        <v>295.5</v>
      </c>
      <c r="W8" s="5" t="n">
        <v>18665.89</v>
      </c>
      <c r="X8" s="6" t="n">
        <v>0.691198</v>
      </c>
      <c r="Y8" s="5" t="n">
        <v>628.93</v>
      </c>
      <c r="Z8" s="5"/>
      <c r="AA8" s="5" t="n">
        <v>7710.29</v>
      </c>
      <c r="AB8" s="6" t="n">
        <v>0.285512</v>
      </c>
      <c r="AC8" s="5" t="n">
        <v>1318.48</v>
      </c>
      <c r="AD8" s="5" t="n">
        <v>697.85</v>
      </c>
      <c r="AE8" s="5" t="n">
        <v>72.61</v>
      </c>
      <c r="AF8" s="5" t="n">
        <v>287.21</v>
      </c>
      <c r="AG8" s="5" t="n">
        <v>5334.14</v>
      </c>
      <c r="AH8" s="6" t="n">
        <v>0.197523</v>
      </c>
      <c r="AI8" s="5" t="n">
        <v>3.3741</v>
      </c>
      <c r="AJ8" s="5" t="n">
        <v>29.102</v>
      </c>
      <c r="AK8" s="5" t="n">
        <v>5.334</v>
      </c>
      <c r="AL8" s="5"/>
      <c r="AM8" s="5"/>
      <c r="AN8" s="7" t="str">
        <f aca="false">IF(AND(ISNUMBER(AM8),AM8&lt;&gt;0),AL8/AM8*365,"")</f>
        <v/>
      </c>
    </row>
    <row r="9" customFormat="false" ht="15" hidden="false" customHeight="true" outlineLevel="0" collapsed="false">
      <c r="A9" s="4" t="n">
        <v>6</v>
      </c>
      <c r="B9" s="4" t="s">
        <v>61</v>
      </c>
      <c r="C9" s="4" t="s">
        <v>53</v>
      </c>
      <c r="D9" s="4" t="s">
        <v>54</v>
      </c>
      <c r="E9" s="4" t="s">
        <v>53</v>
      </c>
      <c r="F9" s="4" t="s">
        <v>48</v>
      </c>
      <c r="G9" s="4" t="s">
        <v>49</v>
      </c>
      <c r="H9" s="4" t="s">
        <v>63</v>
      </c>
      <c r="I9" s="4" t="s">
        <v>64</v>
      </c>
      <c r="J9" s="4" t="n">
        <v>400</v>
      </c>
      <c r="K9" s="5" t="n">
        <v>8276.01</v>
      </c>
      <c r="L9" s="5" t="n">
        <v>75401.99</v>
      </c>
      <c r="M9" s="5" t="n">
        <v>402.38</v>
      </c>
      <c r="N9" s="5" t="n">
        <v>4678.55</v>
      </c>
      <c r="O9" s="5" t="n">
        <v>70321.06</v>
      </c>
      <c r="P9" s="5" t="n">
        <v>7816.55</v>
      </c>
      <c r="Q9" s="5" t="n">
        <v>-1528.66</v>
      </c>
      <c r="R9" s="6" t="n">
        <v>0.089417</v>
      </c>
      <c r="S9" s="5" t="n">
        <v>64033.17</v>
      </c>
      <c r="T9" s="5" t="n">
        <v>40157.32</v>
      </c>
      <c r="U9" s="5" t="n">
        <v>5004.36</v>
      </c>
      <c r="V9" s="5" t="n">
        <v>1762</v>
      </c>
      <c r="W9" s="5" t="n">
        <v>46923.68</v>
      </c>
      <c r="X9" s="6" t="n">
        <v>0.732803</v>
      </c>
      <c r="Y9" s="5" t="n">
        <v>1786.63</v>
      </c>
      <c r="Z9" s="5"/>
      <c r="AA9" s="5" t="n">
        <v>15322.86</v>
      </c>
      <c r="AB9" s="6" t="n">
        <v>0.239296</v>
      </c>
      <c r="AC9" s="5" t="n">
        <v>2882.62</v>
      </c>
      <c r="AD9" s="5" t="n">
        <v>869.12</v>
      </c>
      <c r="AE9" s="5" t="n">
        <v>297.79</v>
      </c>
      <c r="AF9" s="5" t="n">
        <v>1197.75</v>
      </c>
      <c r="AG9" s="5" t="n">
        <v>10075.58</v>
      </c>
      <c r="AH9" s="6" t="n">
        <v>0.157349</v>
      </c>
      <c r="AI9" s="5" t="n">
        <v>8.276</v>
      </c>
      <c r="AJ9" s="5" t="n">
        <v>70.321</v>
      </c>
      <c r="AK9" s="5" t="n">
        <v>10.076</v>
      </c>
      <c r="AL9" s="5" t="n">
        <v>14525.54</v>
      </c>
      <c r="AM9" s="5" t="n">
        <v>45448.88</v>
      </c>
      <c r="AN9" s="7" t="n">
        <f aca="false">IF(AND(ISNUMBER(AM9),AM9&lt;&gt;0),AL9/AM9*365,"")</f>
        <v>116.654626032589</v>
      </c>
    </row>
    <row r="10" customFormat="false" ht="15" hidden="false" customHeight="true" outlineLevel="0" collapsed="false">
      <c r="A10" s="4" t="n">
        <v>7</v>
      </c>
      <c r="B10" s="4" t="s">
        <v>52</v>
      </c>
      <c r="C10" s="4" t="s">
        <v>53</v>
      </c>
      <c r="D10" s="4" t="s">
        <v>54</v>
      </c>
      <c r="E10" s="4" t="s">
        <v>53</v>
      </c>
      <c r="F10" s="4" t="s">
        <v>55</v>
      </c>
      <c r="G10" s="4" t="s">
        <v>44</v>
      </c>
      <c r="H10" s="4" t="s">
        <v>50</v>
      </c>
      <c r="I10" s="4" t="s">
        <v>51</v>
      </c>
      <c r="J10" s="4" t="n">
        <v>1000</v>
      </c>
      <c r="K10" s="5" t="n">
        <v>11455.95</v>
      </c>
      <c r="L10" s="5" t="n">
        <v>117621.7</v>
      </c>
      <c r="M10" s="5" t="n">
        <v>2160.7</v>
      </c>
      <c r="N10" s="5" t="n">
        <v>7051.1</v>
      </c>
      <c r="O10" s="5" t="n">
        <v>108409.9</v>
      </c>
      <c r="P10" s="5" t="n">
        <v>16137.96</v>
      </c>
      <c r="Q10" s="5" t="n">
        <v>-606.38</v>
      </c>
      <c r="R10" s="6" t="n">
        <v>0.143267</v>
      </c>
      <c r="S10" s="5" t="n">
        <v>92878.32</v>
      </c>
      <c r="T10" s="5" t="n">
        <v>56814.29</v>
      </c>
      <c r="U10" s="5" t="n">
        <v>7375.73</v>
      </c>
      <c r="V10" s="5" t="n">
        <v>2427.42</v>
      </c>
      <c r="W10" s="5" t="n">
        <v>66617.44</v>
      </c>
      <c r="X10" s="6" t="n">
        <v>0.717255</v>
      </c>
      <c r="Y10" s="5" t="n">
        <v>2524.76</v>
      </c>
      <c r="Z10" s="5"/>
      <c r="AA10" s="5" t="n">
        <v>23736.12</v>
      </c>
      <c r="AB10" s="6" t="n">
        <v>0.255561</v>
      </c>
      <c r="AC10" s="5" t="n">
        <v>3457.5</v>
      </c>
      <c r="AD10" s="5" t="n">
        <v>1982.69</v>
      </c>
      <c r="AE10" s="5" t="n">
        <v>122.14</v>
      </c>
      <c r="AF10" s="5" t="n">
        <v>1608.57</v>
      </c>
      <c r="AG10" s="5" t="n">
        <v>16565.22</v>
      </c>
      <c r="AH10" s="6" t="n">
        <v>0.178354</v>
      </c>
      <c r="AI10" s="5" t="n">
        <v>11.456</v>
      </c>
      <c r="AJ10" s="5" t="n">
        <v>108.41</v>
      </c>
      <c r="AK10" s="5" t="n">
        <v>16.565</v>
      </c>
      <c r="AL10" s="5" t="n">
        <v>17377.07</v>
      </c>
      <c r="AM10" s="5" t="n">
        <v>72756.66</v>
      </c>
      <c r="AN10" s="7" t="n">
        <f aca="false">IF(AND(ISNUMBER(AM10),AM10&lt;&gt;0),AL10/AM10*365,"")</f>
        <v>87.1759444427493</v>
      </c>
    </row>
    <row r="11" customFormat="false" ht="15" hidden="false" customHeight="true" outlineLevel="0" collapsed="false">
      <c r="A11" s="4" t="n">
        <v>8</v>
      </c>
      <c r="B11" s="4" t="s">
        <v>41</v>
      </c>
      <c r="C11" s="4" t="s">
        <v>53</v>
      </c>
      <c r="D11" s="4" t="s">
        <v>41</v>
      </c>
      <c r="E11" s="4" t="s">
        <v>53</v>
      </c>
      <c r="F11" s="4" t="s">
        <v>55</v>
      </c>
      <c r="G11" s="4" t="s">
        <v>44</v>
      </c>
      <c r="H11" s="4" t="s">
        <v>63</v>
      </c>
      <c r="I11" s="4" t="s">
        <v>65</v>
      </c>
      <c r="J11" s="4" t="n">
        <v>1000</v>
      </c>
      <c r="K11" s="5" t="n">
        <v>2231.99</v>
      </c>
      <c r="L11" s="5" t="n">
        <v>20273.21</v>
      </c>
      <c r="M11" s="5" t="n">
        <v>245.95</v>
      </c>
      <c r="N11" s="5" t="n">
        <v>1585.73</v>
      </c>
      <c r="O11" s="5" t="n">
        <v>18441.53</v>
      </c>
      <c r="P11" s="5" t="n">
        <v>3557.21</v>
      </c>
      <c r="Q11" s="5" t="n">
        <v>-696.41</v>
      </c>
      <c r="R11" s="6" t="n">
        <v>0.155128</v>
      </c>
      <c r="S11" s="5" t="n">
        <v>15580.73</v>
      </c>
      <c r="T11" s="5" t="n">
        <v>10396.67</v>
      </c>
      <c r="U11" s="5" t="n">
        <v>1067.56</v>
      </c>
      <c r="V11" s="5" t="n">
        <v>280.14</v>
      </c>
      <c r="W11" s="5" t="n">
        <v>11744.37</v>
      </c>
      <c r="X11" s="6" t="n">
        <v>0.753775</v>
      </c>
      <c r="Y11" s="5" t="n">
        <v>625.58</v>
      </c>
      <c r="Z11" s="5"/>
      <c r="AA11" s="5" t="n">
        <v>3210.78</v>
      </c>
      <c r="AB11" s="6" t="n">
        <v>0.206074</v>
      </c>
      <c r="AC11" s="5" t="n">
        <v>641.97</v>
      </c>
      <c r="AD11" s="5" t="n">
        <v>436.14</v>
      </c>
      <c r="AE11" s="5" t="n">
        <v>43.72</v>
      </c>
      <c r="AF11" s="5" t="n">
        <v>194.43</v>
      </c>
      <c r="AG11" s="5" t="n">
        <v>1894.52</v>
      </c>
      <c r="AH11" s="6" t="n">
        <v>0.121594</v>
      </c>
      <c r="AI11" s="5" t="n">
        <v>2.232</v>
      </c>
      <c r="AJ11" s="5" t="n">
        <v>18.442</v>
      </c>
      <c r="AK11" s="5" t="n">
        <v>1.895</v>
      </c>
      <c r="AL11" s="5" t="n">
        <v>5156.77</v>
      </c>
      <c r="AM11" s="5" t="n">
        <v>12876.98</v>
      </c>
      <c r="AN11" s="7" t="n">
        <f aca="false">IF(AND(ISNUMBER(AM11),AM11&lt;&gt;0),AL11/AM11*365,"")</f>
        <v>146.169447339361</v>
      </c>
    </row>
    <row r="12" customFormat="false" ht="15" hidden="false" customHeight="true" outlineLevel="0" collapsed="false">
      <c r="A12" s="4" t="n">
        <v>9</v>
      </c>
      <c r="B12" s="4" t="s">
        <v>41</v>
      </c>
      <c r="C12" s="4" t="s">
        <v>66</v>
      </c>
      <c r="D12" s="4" t="s">
        <v>41</v>
      </c>
      <c r="E12" s="4" t="s">
        <v>66</v>
      </c>
      <c r="F12" s="4" t="s">
        <v>67</v>
      </c>
      <c r="G12" s="4" t="s">
        <v>44</v>
      </c>
      <c r="H12" s="4" t="s">
        <v>63</v>
      </c>
      <c r="I12" s="4" t="s">
        <v>68</v>
      </c>
      <c r="J12" s="4" t="n">
        <v>400</v>
      </c>
      <c r="K12" s="5" t="n">
        <v>1130.62</v>
      </c>
      <c r="L12" s="5" t="n">
        <v>10620.26</v>
      </c>
      <c r="M12" s="5" t="n">
        <v>48.63</v>
      </c>
      <c r="N12" s="5" t="n">
        <v>799.4</v>
      </c>
      <c r="O12" s="5" t="n">
        <v>9772.23</v>
      </c>
      <c r="P12" s="5" t="n">
        <v>1817.28</v>
      </c>
      <c r="Q12" s="5" t="n">
        <v>-34.62</v>
      </c>
      <c r="R12" s="6" t="n">
        <v>0.182421</v>
      </c>
      <c r="S12" s="5" t="n">
        <v>7989.57</v>
      </c>
      <c r="T12" s="5" t="n">
        <v>4717.53</v>
      </c>
      <c r="U12" s="5" t="n">
        <v>533.38</v>
      </c>
      <c r="V12" s="5" t="n">
        <v>114.13</v>
      </c>
      <c r="W12" s="5" t="n">
        <v>5365.04</v>
      </c>
      <c r="X12" s="6" t="n">
        <v>0.671505</v>
      </c>
      <c r="Y12" s="5" t="n">
        <v>191.5</v>
      </c>
      <c r="Z12" s="5"/>
      <c r="AA12" s="5" t="n">
        <v>2433.03</v>
      </c>
      <c r="AB12" s="6" t="n">
        <v>0.304526</v>
      </c>
      <c r="AC12" s="5" t="n">
        <v>463.92</v>
      </c>
      <c r="AD12" s="5" t="n">
        <v>171.14</v>
      </c>
      <c r="AE12" s="5" t="n">
        <v>23.1</v>
      </c>
      <c r="AF12" s="5" t="n">
        <v>142.58</v>
      </c>
      <c r="AG12" s="5" t="n">
        <v>1632.29</v>
      </c>
      <c r="AH12" s="6" t="n">
        <v>0.204303</v>
      </c>
      <c r="AI12" s="5" t="n">
        <v>1.1306</v>
      </c>
      <c r="AJ12" s="5" t="n">
        <v>9.772</v>
      </c>
      <c r="AK12" s="5" t="n">
        <v>1.632</v>
      </c>
      <c r="AL12" s="5" t="n">
        <v>752.72</v>
      </c>
      <c r="AM12" s="5" t="n">
        <v>5329.85</v>
      </c>
      <c r="AN12" s="7" t="n">
        <f aca="false">IF(AND(ISNUMBER(AM12),AM12&lt;&gt;0),AL12/AM12*365,"")</f>
        <v>51.5479422497819</v>
      </c>
    </row>
    <row r="13" customFormat="false" ht="15" hidden="false" customHeight="true" outlineLevel="0" collapsed="false">
      <c r="A13" s="4" t="n">
        <v>10</v>
      </c>
      <c r="B13" s="4" t="s">
        <v>61</v>
      </c>
      <c r="C13" s="4" t="s">
        <v>47</v>
      </c>
      <c r="D13" s="4" t="s">
        <v>54</v>
      </c>
      <c r="E13" s="4" t="s">
        <v>47</v>
      </c>
      <c r="F13" s="4" t="s">
        <v>67</v>
      </c>
      <c r="G13" s="4" t="s">
        <v>56</v>
      </c>
      <c r="H13" s="4" t="s">
        <v>63</v>
      </c>
      <c r="I13" s="4" t="s">
        <v>69</v>
      </c>
      <c r="J13" s="4" t="n">
        <v>720</v>
      </c>
      <c r="K13" s="5" t="n">
        <v>5255.87</v>
      </c>
      <c r="L13" s="5" t="n">
        <v>46782.89</v>
      </c>
      <c r="M13" s="5" t="n">
        <v>682.17</v>
      </c>
      <c r="N13" s="5" t="n">
        <v>2978.58</v>
      </c>
      <c r="O13" s="5" t="n">
        <v>43122.14</v>
      </c>
      <c r="P13" s="5" t="n">
        <v>8556.15</v>
      </c>
      <c r="Q13" s="5" t="n">
        <v>-212.2</v>
      </c>
      <c r="R13" s="6" t="n">
        <v>0.193496</v>
      </c>
      <c r="S13" s="5" t="n">
        <v>34778.19</v>
      </c>
      <c r="T13" s="5" t="n">
        <v>21508.42</v>
      </c>
      <c r="U13" s="5" t="n">
        <v>1863.14</v>
      </c>
      <c r="V13" s="5" t="n">
        <v>947.13</v>
      </c>
      <c r="W13" s="5" t="n">
        <v>24318.69</v>
      </c>
      <c r="X13" s="6" t="n">
        <v>0.699251</v>
      </c>
      <c r="Y13" s="5" t="n">
        <v>955</v>
      </c>
      <c r="Z13" s="5"/>
      <c r="AA13" s="5" t="n">
        <v>9504.5</v>
      </c>
      <c r="AB13" s="6" t="n">
        <v>0.273289</v>
      </c>
      <c r="AC13" s="5" t="n">
        <v>1241.8</v>
      </c>
      <c r="AD13" s="5" t="n">
        <v>659.82</v>
      </c>
      <c r="AE13" s="5" t="n">
        <v>93.47</v>
      </c>
      <c r="AF13" s="5" t="n">
        <v>444.65</v>
      </c>
      <c r="AG13" s="5" t="n">
        <v>7064.76</v>
      </c>
      <c r="AH13" s="6" t="n">
        <v>0.203138</v>
      </c>
      <c r="AI13" s="5" t="n">
        <v>5.2559</v>
      </c>
      <c r="AJ13" s="5" t="n">
        <v>43.122</v>
      </c>
      <c r="AK13" s="5" t="n">
        <v>7.065</v>
      </c>
      <c r="AL13" s="5"/>
      <c r="AM13" s="5"/>
      <c r="AN13" s="7" t="str">
        <f aca="false">IF(AND(ISNUMBER(AM13),AM13&lt;&gt;0),AL13/AM13*365,"")</f>
        <v/>
      </c>
    </row>
    <row r="14" customFormat="false" ht="15" hidden="false" customHeight="true" outlineLevel="0" collapsed="false">
      <c r="A14" s="4" t="n">
        <v>11</v>
      </c>
      <c r="B14" s="4" t="s">
        <v>58</v>
      </c>
      <c r="C14" s="4" t="s">
        <v>42</v>
      </c>
      <c r="D14" s="4" t="s">
        <v>54</v>
      </c>
      <c r="E14" s="4" t="s">
        <v>42</v>
      </c>
      <c r="F14" s="4" t="s">
        <v>48</v>
      </c>
      <c r="G14" s="4" t="s">
        <v>56</v>
      </c>
      <c r="H14" s="4" t="s">
        <v>45</v>
      </c>
      <c r="I14" s="4" t="s">
        <v>62</v>
      </c>
      <c r="J14" s="4" t="n">
        <v>400</v>
      </c>
      <c r="K14" s="5" t="n">
        <v>11637.26</v>
      </c>
      <c r="L14" s="5" t="n">
        <v>119620.57</v>
      </c>
      <c r="M14" s="5" t="n">
        <v>2030.43</v>
      </c>
      <c r="N14" s="5" t="n">
        <v>4583.33</v>
      </c>
      <c r="O14" s="5" t="n">
        <v>113006.81</v>
      </c>
      <c r="P14" s="5" t="n">
        <v>16788.76</v>
      </c>
      <c r="Q14" s="5" t="n">
        <v>-1207.75</v>
      </c>
      <c r="R14" s="6" t="n">
        <v>0.137877</v>
      </c>
      <c r="S14" s="5" t="n">
        <v>97425.8</v>
      </c>
      <c r="T14" s="5" t="n">
        <v>60226.37</v>
      </c>
      <c r="U14" s="5" t="n">
        <v>4125.54</v>
      </c>
      <c r="V14" s="5" t="n">
        <v>1712.69</v>
      </c>
      <c r="W14" s="5" t="n">
        <v>66064.6</v>
      </c>
      <c r="X14" s="6" t="n">
        <v>0.678102</v>
      </c>
      <c r="Y14" s="5" t="n">
        <v>4828.35</v>
      </c>
      <c r="Z14" s="5"/>
      <c r="AA14" s="5" t="n">
        <v>26532.85</v>
      </c>
      <c r="AB14" s="6" t="n">
        <v>0.272339</v>
      </c>
      <c r="AC14" s="5" t="n">
        <v>3697.9</v>
      </c>
      <c r="AD14" s="5" t="n">
        <v>2502.03</v>
      </c>
      <c r="AE14" s="5" t="n">
        <v>274.74</v>
      </c>
      <c r="AF14" s="5" t="n">
        <v>1386.38</v>
      </c>
      <c r="AG14" s="5" t="n">
        <v>18671.8</v>
      </c>
      <c r="AH14" s="6" t="n">
        <v>0.191651</v>
      </c>
      <c r="AI14" s="5" t="n">
        <v>11.6373</v>
      </c>
      <c r="AJ14" s="5" t="n">
        <v>113.007</v>
      </c>
      <c r="AK14" s="5" t="n">
        <v>18.672</v>
      </c>
      <c r="AL14" s="5" t="n">
        <v>20890.4</v>
      </c>
      <c r="AM14" s="5" t="n">
        <v>64552.31</v>
      </c>
      <c r="AN14" s="7" t="n">
        <f aca="false">IF(AND(ISNUMBER(AM14),AM14&lt;&gt;0),AL14/AM14*365,"")</f>
        <v>118.121195043214</v>
      </c>
    </row>
    <row r="15" customFormat="false" ht="15" hidden="false" customHeight="true" outlineLevel="0" collapsed="false">
      <c r="A15" s="4" t="n">
        <v>12</v>
      </c>
      <c r="B15" s="4" t="s">
        <v>61</v>
      </c>
      <c r="C15" s="4" t="s">
        <v>47</v>
      </c>
      <c r="D15" s="4" t="s">
        <v>54</v>
      </c>
      <c r="E15" s="4" t="s">
        <v>47</v>
      </c>
      <c r="F15" s="4" t="s">
        <v>55</v>
      </c>
      <c r="G15" s="4" t="s">
        <v>49</v>
      </c>
      <c r="H15" s="4" t="s">
        <v>45</v>
      </c>
      <c r="I15" s="4" t="s">
        <v>70</v>
      </c>
      <c r="J15" s="4" t="n">
        <v>1000</v>
      </c>
      <c r="K15" s="5" t="n">
        <v>8908.12</v>
      </c>
      <c r="L15" s="5" t="n">
        <v>68439.95</v>
      </c>
      <c r="M15" s="5" t="n">
        <v>429.26</v>
      </c>
      <c r="N15" s="5" t="n">
        <v>2224.79</v>
      </c>
      <c r="O15" s="5" t="n">
        <v>65785.9</v>
      </c>
      <c r="P15" s="5" t="n">
        <v>9715.19</v>
      </c>
      <c r="Q15" s="5" t="n">
        <v>-3024.14</v>
      </c>
      <c r="R15" s="6" t="n">
        <v>0.101709</v>
      </c>
      <c r="S15" s="5" t="n">
        <v>59094.85</v>
      </c>
      <c r="T15" s="5" t="n">
        <v>37837.93</v>
      </c>
      <c r="U15" s="5" t="n">
        <v>2498.25</v>
      </c>
      <c r="V15" s="5" t="n">
        <v>1191.15</v>
      </c>
      <c r="W15" s="5" t="n">
        <v>41527.33</v>
      </c>
      <c r="X15" s="6" t="n">
        <v>0.702723</v>
      </c>
      <c r="Y15" s="5" t="n">
        <v>2691.2</v>
      </c>
      <c r="Z15" s="5"/>
      <c r="AA15" s="5" t="n">
        <v>14876.32</v>
      </c>
      <c r="AB15" s="6" t="n">
        <v>0.251736</v>
      </c>
      <c r="AC15" s="5" t="n">
        <v>1894.32</v>
      </c>
      <c r="AD15" s="5" t="n">
        <v>671.27</v>
      </c>
      <c r="AE15" s="5" t="n">
        <v>262.81</v>
      </c>
      <c r="AF15" s="5" t="n">
        <v>829.56</v>
      </c>
      <c r="AG15" s="5" t="n">
        <v>11218.36</v>
      </c>
      <c r="AH15" s="6" t="n">
        <v>0.189837</v>
      </c>
      <c r="AI15" s="5" t="n">
        <v>8.9081</v>
      </c>
      <c r="AJ15" s="5" t="n">
        <v>65.786</v>
      </c>
      <c r="AK15" s="5" t="n">
        <v>11.218</v>
      </c>
      <c r="AL15" s="5" t="n">
        <v>5095.02</v>
      </c>
      <c r="AM15" s="5" t="n">
        <v>41770.66</v>
      </c>
      <c r="AN15" s="7" t="n">
        <f aca="false">IF(AND(ISNUMBER(AM15),AM15&lt;&gt;0),AL15/AM15*365,"")</f>
        <v>44.5212572652671</v>
      </c>
    </row>
    <row r="16" customFormat="false" ht="15" hidden="false" customHeight="true" outlineLevel="0" collapsed="false">
      <c r="A16" s="4" t="n">
        <v>13</v>
      </c>
      <c r="B16" s="4" t="s">
        <v>58</v>
      </c>
      <c r="C16" s="4" t="s">
        <v>53</v>
      </c>
      <c r="D16" s="4" t="s">
        <v>54</v>
      </c>
      <c r="E16" s="4" t="s">
        <v>53</v>
      </c>
      <c r="F16" s="4" t="s">
        <v>67</v>
      </c>
      <c r="G16" s="4" t="s">
        <v>56</v>
      </c>
      <c r="H16" s="4" t="s">
        <v>50</v>
      </c>
      <c r="I16" s="4" t="s">
        <v>71</v>
      </c>
      <c r="J16" s="4" t="n">
        <v>1000</v>
      </c>
      <c r="K16" s="5" t="n">
        <v>6416.56</v>
      </c>
      <c r="L16" s="5" t="n">
        <v>66117</v>
      </c>
      <c r="M16" s="5" t="n">
        <v>270.1</v>
      </c>
      <c r="N16" s="5" t="n">
        <v>4351.13</v>
      </c>
      <c r="O16" s="5" t="n">
        <v>61495.77</v>
      </c>
      <c r="P16" s="5" t="n">
        <v>7617.39</v>
      </c>
      <c r="Q16" s="5" t="n">
        <v>-1216.96</v>
      </c>
      <c r="R16" s="6" t="n">
        <v>0.104079</v>
      </c>
      <c r="S16" s="5" t="n">
        <v>55095.34</v>
      </c>
      <c r="T16" s="5" t="n">
        <v>36593.63</v>
      </c>
      <c r="U16" s="5" t="n">
        <v>2864.95</v>
      </c>
      <c r="V16" s="5" t="n">
        <v>899.35</v>
      </c>
      <c r="W16" s="5" t="n">
        <v>40357.93</v>
      </c>
      <c r="X16" s="6" t="n">
        <v>0.732511</v>
      </c>
      <c r="Y16" s="5" t="n">
        <v>2344.63</v>
      </c>
      <c r="Z16" s="5"/>
      <c r="AA16" s="5" t="n">
        <v>12392.78</v>
      </c>
      <c r="AB16" s="6" t="n">
        <v>0.224933</v>
      </c>
      <c r="AC16" s="5" t="n">
        <v>1772.76</v>
      </c>
      <c r="AD16" s="5" t="n">
        <v>1055.94</v>
      </c>
      <c r="AE16" s="5" t="n">
        <v>275.14</v>
      </c>
      <c r="AF16" s="5" t="n">
        <v>1099.76</v>
      </c>
      <c r="AG16" s="5" t="n">
        <v>8189.18</v>
      </c>
      <c r="AH16" s="6" t="n">
        <v>0.148637</v>
      </c>
      <c r="AI16" s="5" t="n">
        <v>6.4166</v>
      </c>
      <c r="AJ16" s="5" t="n">
        <v>61.496</v>
      </c>
      <c r="AK16" s="5" t="n">
        <v>8.189</v>
      </c>
      <c r="AL16" s="5" t="n">
        <v>13086.3</v>
      </c>
      <c r="AM16" s="5" t="n">
        <v>38700.84</v>
      </c>
      <c r="AN16" s="7" t="n">
        <f aca="false">IF(AND(ISNUMBER(AM16),AM16&lt;&gt;0),AL16/AM16*365,"")</f>
        <v>123.421080782743</v>
      </c>
    </row>
    <row r="17" customFormat="false" ht="15" hidden="false" customHeight="true" outlineLevel="0" collapsed="false">
      <c r="A17" s="4" t="n">
        <v>14</v>
      </c>
      <c r="B17" s="4" t="s">
        <v>41</v>
      </c>
      <c r="C17" s="4" t="s">
        <v>53</v>
      </c>
      <c r="D17" s="4" t="s">
        <v>41</v>
      </c>
      <c r="E17" s="4" t="s">
        <v>53</v>
      </c>
      <c r="F17" s="4" t="s">
        <v>55</v>
      </c>
      <c r="G17" s="4" t="s">
        <v>49</v>
      </c>
      <c r="H17" s="4" t="s">
        <v>45</v>
      </c>
      <c r="I17" s="4" t="s">
        <v>72</v>
      </c>
      <c r="J17" s="4" t="n">
        <v>400</v>
      </c>
      <c r="K17" s="5" t="n">
        <v>10587.46</v>
      </c>
      <c r="L17" s="5" t="n">
        <v>91143.01</v>
      </c>
      <c r="M17" s="5" t="n">
        <v>287.55</v>
      </c>
      <c r="N17" s="5" t="n">
        <v>6533.79</v>
      </c>
      <c r="O17" s="5" t="n">
        <v>84321.67</v>
      </c>
      <c r="P17" s="5" t="n">
        <v>14364.53</v>
      </c>
      <c r="Q17" s="5" t="n">
        <v>-2578.88</v>
      </c>
      <c r="R17" s="6" t="n">
        <v>0.13977</v>
      </c>
      <c r="S17" s="5" t="n">
        <v>72536.02</v>
      </c>
      <c r="T17" s="5" t="n">
        <v>52068.5</v>
      </c>
      <c r="U17" s="5" t="n">
        <v>4798.91</v>
      </c>
      <c r="V17" s="5" t="n">
        <v>736.71</v>
      </c>
      <c r="W17" s="5" t="n">
        <v>57604.12</v>
      </c>
      <c r="X17" s="6" t="n">
        <v>0.794145</v>
      </c>
      <c r="Y17" s="5" t="n">
        <v>3228.8</v>
      </c>
      <c r="Z17" s="5"/>
      <c r="AA17" s="5" t="n">
        <v>11703.1</v>
      </c>
      <c r="AB17" s="6" t="n">
        <v>0.161342</v>
      </c>
      <c r="AC17" s="5" t="n">
        <v>2827.55</v>
      </c>
      <c r="AD17" s="5" t="n">
        <v>1687.75</v>
      </c>
      <c r="AE17" s="5" t="n">
        <v>344.96</v>
      </c>
      <c r="AF17" s="5" t="n">
        <v>822.77</v>
      </c>
      <c r="AG17" s="5" t="n">
        <v>6020.07</v>
      </c>
      <c r="AH17" s="6" t="n">
        <v>0.082994</v>
      </c>
      <c r="AI17" s="5" t="n">
        <v>10.5875</v>
      </c>
      <c r="AJ17" s="5" t="n">
        <v>84.322</v>
      </c>
      <c r="AK17" s="5" t="n">
        <v>6.02</v>
      </c>
      <c r="AL17" s="5" t="n">
        <v>17814.55</v>
      </c>
      <c r="AM17" s="5" t="n">
        <v>58418.58</v>
      </c>
      <c r="AN17" s="7" t="n">
        <f aca="false">IF(AND(ISNUMBER(AM17),AM17&lt;&gt;0),AL17/AM17*365,"")</f>
        <v>111.305525570803</v>
      </c>
    </row>
    <row r="18" customFormat="false" ht="15" hidden="false" customHeight="true" outlineLevel="0" collapsed="false">
      <c r="A18" s="4" t="n">
        <v>15</v>
      </c>
      <c r="B18" s="4" t="s">
        <v>41</v>
      </c>
      <c r="C18" s="4" t="s">
        <v>42</v>
      </c>
      <c r="D18" s="4" t="s">
        <v>41</v>
      </c>
      <c r="E18" s="4" t="s">
        <v>42</v>
      </c>
      <c r="F18" s="4" t="s">
        <v>55</v>
      </c>
      <c r="G18" s="4" t="s">
        <v>49</v>
      </c>
      <c r="H18" s="4" t="s">
        <v>50</v>
      </c>
      <c r="I18" s="4" t="s">
        <v>71</v>
      </c>
      <c r="J18" s="4" t="n">
        <v>540</v>
      </c>
      <c r="K18" s="5" t="n">
        <v>8696.06</v>
      </c>
      <c r="L18" s="5" t="n">
        <v>70531.93</v>
      </c>
      <c r="M18" s="5" t="n">
        <v>894.68</v>
      </c>
      <c r="N18" s="5" t="n">
        <v>3046.92</v>
      </c>
      <c r="O18" s="5" t="n">
        <v>66590.33</v>
      </c>
      <c r="P18" s="5" t="n">
        <v>9912.18</v>
      </c>
      <c r="Q18" s="5" t="n">
        <v>-3014.33</v>
      </c>
      <c r="R18" s="6" t="n">
        <v>0.103586</v>
      </c>
      <c r="S18" s="5" t="n">
        <v>59692.48</v>
      </c>
      <c r="T18" s="5" t="n">
        <v>41416.89</v>
      </c>
      <c r="U18" s="5" t="n">
        <v>2608.08</v>
      </c>
      <c r="V18" s="5" t="n">
        <v>1102.61</v>
      </c>
      <c r="W18" s="5" t="n">
        <v>45127.58</v>
      </c>
      <c r="X18" s="6" t="n">
        <v>0.756001</v>
      </c>
      <c r="Y18" s="5" t="n">
        <v>1689.32</v>
      </c>
      <c r="Z18" s="5"/>
      <c r="AA18" s="5" t="n">
        <v>12875.58</v>
      </c>
      <c r="AB18" s="6" t="n">
        <v>0.215699</v>
      </c>
      <c r="AC18" s="5" t="n">
        <v>1797.12</v>
      </c>
      <c r="AD18" s="5" t="n">
        <v>1517.53</v>
      </c>
      <c r="AE18" s="5" t="n">
        <v>211.82</v>
      </c>
      <c r="AF18" s="5" t="n">
        <v>753.29</v>
      </c>
      <c r="AG18" s="5" t="n">
        <v>8595.82</v>
      </c>
      <c r="AH18" s="6" t="n">
        <v>0.144002</v>
      </c>
      <c r="AI18" s="5" t="n">
        <v>8.6961</v>
      </c>
      <c r="AJ18" s="5" t="n">
        <v>66.59</v>
      </c>
      <c r="AK18" s="5" t="n">
        <v>8.596</v>
      </c>
      <c r="AL18" s="5" t="n">
        <v>17366.4</v>
      </c>
      <c r="AM18" s="5" t="n">
        <v>45938.87</v>
      </c>
      <c r="AN18" s="7" t="n">
        <f aca="false">IF(AND(ISNUMBER(AM18),AM18&lt;&gt;0),AL18/AM18*365,"")</f>
        <v>137.981974741651</v>
      </c>
    </row>
    <row r="19" customFormat="false" ht="15" hidden="false" customHeight="true" outlineLevel="0" collapsed="false">
      <c r="A19" s="4" t="n">
        <v>16</v>
      </c>
      <c r="B19" s="4" t="s">
        <v>61</v>
      </c>
      <c r="C19" s="4" t="s">
        <v>53</v>
      </c>
      <c r="D19" s="4" t="s">
        <v>54</v>
      </c>
      <c r="E19" s="4" t="s">
        <v>53</v>
      </c>
      <c r="F19" s="4" t="s">
        <v>48</v>
      </c>
      <c r="G19" s="4" t="s">
        <v>56</v>
      </c>
      <c r="H19" s="4" t="s">
        <v>45</v>
      </c>
      <c r="I19" s="4" t="s">
        <v>73</v>
      </c>
      <c r="J19" s="4" t="n">
        <v>540</v>
      </c>
      <c r="K19" s="5" t="n">
        <v>6683.41</v>
      </c>
      <c r="L19" s="5" t="n">
        <v>66859.4</v>
      </c>
      <c r="M19" s="5" t="n">
        <v>778.92</v>
      </c>
      <c r="N19" s="5" t="n">
        <v>2500.86</v>
      </c>
      <c r="O19" s="5" t="n">
        <v>63579.62</v>
      </c>
      <c r="P19" s="5" t="n">
        <v>7168.26</v>
      </c>
      <c r="Q19" s="5" t="n">
        <v>-979.95</v>
      </c>
      <c r="R19" s="6" t="n">
        <v>0.097332</v>
      </c>
      <c r="S19" s="5" t="n">
        <v>57391.31</v>
      </c>
      <c r="T19" s="5" t="n">
        <v>40336.15</v>
      </c>
      <c r="U19" s="5" t="n">
        <v>4123.27</v>
      </c>
      <c r="V19" s="5" t="n">
        <v>1561.85</v>
      </c>
      <c r="W19" s="5" t="n">
        <v>46021.27</v>
      </c>
      <c r="X19" s="6" t="n">
        <v>0.801886</v>
      </c>
      <c r="Y19" s="5" t="n">
        <v>2695.54</v>
      </c>
      <c r="Z19" s="5"/>
      <c r="AA19" s="5" t="n">
        <v>8674.5</v>
      </c>
      <c r="AB19" s="6" t="n">
        <v>0.151147</v>
      </c>
      <c r="AC19" s="5" t="n">
        <v>2083.44</v>
      </c>
      <c r="AD19" s="5" t="n">
        <v>860.33</v>
      </c>
      <c r="AE19" s="5" t="n">
        <v>80.99</v>
      </c>
      <c r="AF19" s="5" t="n">
        <v>1021.63</v>
      </c>
      <c r="AG19" s="5" t="n">
        <v>4628.11</v>
      </c>
      <c r="AH19" s="6" t="n">
        <v>0.080641</v>
      </c>
      <c r="AI19" s="5" t="n">
        <v>6.6834</v>
      </c>
      <c r="AJ19" s="5" t="n">
        <v>63.58</v>
      </c>
      <c r="AK19" s="5" t="n">
        <v>4.628</v>
      </c>
      <c r="AL19" s="5" t="n">
        <v>14614.54</v>
      </c>
      <c r="AM19" s="5" t="n">
        <v>48545.5</v>
      </c>
      <c r="AN19" s="7" t="n">
        <f aca="false">IF(AND(ISNUMBER(AM19),AM19&lt;&gt;0),AL19/AM19*365,"")</f>
        <v>109.882627637989</v>
      </c>
    </row>
    <row r="20" customFormat="false" ht="15" hidden="false" customHeight="true" outlineLevel="0" collapsed="false">
      <c r="A20" s="4" t="n">
        <v>17</v>
      </c>
      <c r="B20" s="4" t="s">
        <v>61</v>
      </c>
      <c r="C20" s="4" t="s">
        <v>53</v>
      </c>
      <c r="D20" s="4" t="s">
        <v>54</v>
      </c>
      <c r="E20" s="4" t="s">
        <v>53</v>
      </c>
      <c r="F20" s="4" t="s">
        <v>55</v>
      </c>
      <c r="G20" s="4" t="s">
        <v>44</v>
      </c>
      <c r="H20" s="4" t="s">
        <v>45</v>
      </c>
      <c r="I20" s="4" t="s">
        <v>46</v>
      </c>
      <c r="J20" s="4" t="n">
        <v>800</v>
      </c>
      <c r="K20" s="5" t="n">
        <v>590</v>
      </c>
      <c r="L20" s="5" t="n">
        <v>5728.72</v>
      </c>
      <c r="M20" s="5" t="n">
        <v>38.06</v>
      </c>
      <c r="N20" s="5" t="n">
        <v>438.48</v>
      </c>
      <c r="O20" s="5" t="n">
        <v>5252.18</v>
      </c>
      <c r="P20" s="5" t="n">
        <v>946.57</v>
      </c>
      <c r="Q20" s="5" t="n">
        <v>-226.91</v>
      </c>
      <c r="R20" s="6" t="n">
        <v>0.137021</v>
      </c>
      <c r="S20" s="5" t="n">
        <v>4532.52</v>
      </c>
      <c r="T20" s="5" t="n">
        <v>3117.59</v>
      </c>
      <c r="U20" s="5" t="n">
        <v>229.67</v>
      </c>
      <c r="V20" s="5" t="n">
        <v>116.7</v>
      </c>
      <c r="W20" s="5" t="n">
        <v>3463.96</v>
      </c>
      <c r="X20" s="6" t="n">
        <v>0.764246</v>
      </c>
      <c r="Y20" s="5" t="n">
        <v>105.35</v>
      </c>
      <c r="Z20" s="5"/>
      <c r="AA20" s="5" t="n">
        <v>963.21</v>
      </c>
      <c r="AB20" s="6" t="n">
        <v>0.212511</v>
      </c>
      <c r="AC20" s="5" t="n">
        <v>254.57</v>
      </c>
      <c r="AD20" s="5" t="n">
        <v>123.16</v>
      </c>
      <c r="AE20" s="5" t="n">
        <v>8.57</v>
      </c>
      <c r="AF20" s="5" t="n">
        <v>82.34</v>
      </c>
      <c r="AG20" s="5" t="n">
        <v>494.57</v>
      </c>
      <c r="AH20" s="6" t="n">
        <v>0.109116</v>
      </c>
      <c r="AI20" s="5" t="n">
        <v>0.59</v>
      </c>
      <c r="AJ20" s="5" t="n">
        <v>5.252</v>
      </c>
      <c r="AK20" s="5" t="n">
        <v>0.495</v>
      </c>
      <c r="AL20" s="5"/>
      <c r="AM20" s="5"/>
      <c r="AN20" s="7" t="str">
        <f aca="false">IF(AND(ISNUMBER(AM20),AM20&lt;&gt;0),AL20/AM20*365,"")</f>
        <v/>
      </c>
    </row>
    <row r="21" customFormat="false" ht="15" hidden="false" customHeight="true" outlineLevel="0" collapsed="false">
      <c r="A21" s="4" t="n">
        <v>18</v>
      </c>
      <c r="B21" s="4" t="s">
        <v>61</v>
      </c>
      <c r="C21" s="4" t="s">
        <v>66</v>
      </c>
      <c r="D21" s="4" t="s">
        <v>54</v>
      </c>
      <c r="E21" s="4" t="s">
        <v>66</v>
      </c>
      <c r="F21" s="4" t="s">
        <v>43</v>
      </c>
      <c r="G21" s="4" t="s">
        <v>44</v>
      </c>
      <c r="H21" s="4" t="s">
        <v>45</v>
      </c>
      <c r="I21" s="4" t="s">
        <v>70</v>
      </c>
      <c r="J21" s="4" t="n">
        <v>540</v>
      </c>
      <c r="K21" s="5" t="n">
        <v>4962.05</v>
      </c>
      <c r="L21" s="5" t="n">
        <v>41362.7</v>
      </c>
      <c r="M21" s="5" t="n">
        <v>57.43</v>
      </c>
      <c r="N21" s="5" t="n">
        <v>2840.22</v>
      </c>
      <c r="O21" s="5" t="n">
        <v>38465.05</v>
      </c>
      <c r="P21" s="5" t="n">
        <v>5197.19</v>
      </c>
      <c r="Q21" s="5" t="n">
        <v>-979.72</v>
      </c>
      <c r="R21" s="6" t="n">
        <v>0.109644</v>
      </c>
      <c r="S21" s="5" t="n">
        <v>34247.58</v>
      </c>
      <c r="T21" s="5" t="n">
        <v>22792.38</v>
      </c>
      <c r="U21" s="5" t="n">
        <v>2525.64</v>
      </c>
      <c r="V21" s="5" t="n">
        <v>569.3</v>
      </c>
      <c r="W21" s="5" t="n">
        <v>25887.32</v>
      </c>
      <c r="X21" s="6" t="n">
        <v>0.755888</v>
      </c>
      <c r="Y21" s="5" t="n">
        <v>713.31</v>
      </c>
      <c r="Z21" s="5"/>
      <c r="AA21" s="5" t="n">
        <v>7646.95</v>
      </c>
      <c r="AB21" s="6" t="n">
        <v>0.223284</v>
      </c>
      <c r="AC21" s="5" t="n">
        <v>1928.52</v>
      </c>
      <c r="AD21" s="5" t="n">
        <v>521.4</v>
      </c>
      <c r="AE21" s="5" t="n">
        <v>113.78</v>
      </c>
      <c r="AF21" s="5" t="n">
        <v>679.32</v>
      </c>
      <c r="AG21" s="5" t="n">
        <v>4403.93</v>
      </c>
      <c r="AH21" s="6" t="n">
        <v>0.128591</v>
      </c>
      <c r="AI21" s="5" t="n">
        <v>4.9621</v>
      </c>
      <c r="AJ21" s="5" t="n">
        <v>38.465</v>
      </c>
      <c r="AK21" s="5" t="n">
        <v>4.404</v>
      </c>
      <c r="AL21" s="5" t="n">
        <v>12151.16</v>
      </c>
      <c r="AM21" s="5" t="n">
        <v>27425.46</v>
      </c>
      <c r="AN21" s="7" t="n">
        <f aca="false">IF(AND(ISNUMBER(AM21),AM21&lt;&gt;0),AL21/AM21*365,"")</f>
        <v>161.717375023063</v>
      </c>
    </row>
    <row r="22" customFormat="false" ht="15" hidden="false" customHeight="true" outlineLevel="0" collapsed="false">
      <c r="A22" s="4" t="n">
        <v>19</v>
      </c>
      <c r="B22" s="4" t="s">
        <v>41</v>
      </c>
      <c r="C22" s="4" t="s">
        <v>42</v>
      </c>
      <c r="D22" s="4" t="s">
        <v>41</v>
      </c>
      <c r="E22" s="4" t="s">
        <v>42</v>
      </c>
      <c r="F22" s="4" t="s">
        <v>48</v>
      </c>
      <c r="G22" s="4" t="s">
        <v>49</v>
      </c>
      <c r="H22" s="4" t="s">
        <v>63</v>
      </c>
      <c r="I22" s="4" t="s">
        <v>74</v>
      </c>
      <c r="J22" s="4" t="n">
        <v>800</v>
      </c>
      <c r="K22" s="5" t="n">
        <v>7392.64</v>
      </c>
      <c r="L22" s="5" t="n">
        <v>66787.1</v>
      </c>
      <c r="M22" s="5" t="n">
        <v>514.52</v>
      </c>
      <c r="N22" s="5" t="n">
        <v>3929.05</v>
      </c>
      <c r="O22" s="5" t="n">
        <v>62343.53</v>
      </c>
      <c r="P22" s="5" t="n">
        <v>7822.38</v>
      </c>
      <c r="Q22" s="5" t="n">
        <v>-2209.41</v>
      </c>
      <c r="R22" s="6" t="n">
        <v>0.090033</v>
      </c>
      <c r="S22" s="5" t="n">
        <v>56730.56</v>
      </c>
      <c r="T22" s="5" t="n">
        <v>31218.12</v>
      </c>
      <c r="U22" s="5" t="n">
        <v>4369.56</v>
      </c>
      <c r="V22" s="5" t="n">
        <v>1178.24</v>
      </c>
      <c r="W22" s="5" t="n">
        <v>36765.92</v>
      </c>
      <c r="X22" s="6" t="n">
        <v>0.64808</v>
      </c>
      <c r="Y22" s="5" t="n">
        <v>2359.02</v>
      </c>
      <c r="Z22" s="5"/>
      <c r="AA22" s="5" t="n">
        <v>17605.62</v>
      </c>
      <c r="AB22" s="6" t="n">
        <v>0.310337</v>
      </c>
      <c r="AC22" s="5" t="n">
        <v>2964.65</v>
      </c>
      <c r="AD22" s="5" t="n">
        <v>1328.21</v>
      </c>
      <c r="AE22" s="5" t="n">
        <v>139.38</v>
      </c>
      <c r="AF22" s="5" t="n">
        <v>607</v>
      </c>
      <c r="AG22" s="5" t="n">
        <v>12566.38</v>
      </c>
      <c r="AH22" s="6" t="n">
        <v>0.22151</v>
      </c>
      <c r="AI22" s="5" t="n">
        <v>7.3926</v>
      </c>
      <c r="AJ22" s="5" t="n">
        <v>62.344</v>
      </c>
      <c r="AK22" s="5" t="n">
        <v>12.566</v>
      </c>
      <c r="AL22" s="5" t="n">
        <v>12986.22</v>
      </c>
      <c r="AM22" s="5" t="n">
        <v>35578.74</v>
      </c>
      <c r="AN22" s="7" t="n">
        <f aca="false">IF(AND(ISNUMBER(AM22),AM22&lt;&gt;0),AL22/AM22*365,"")</f>
        <v>133.224793795396</v>
      </c>
    </row>
    <row r="23" customFormat="false" ht="15" hidden="false" customHeight="true" outlineLevel="0" collapsed="false">
      <c r="A23" s="4" t="n">
        <v>20</v>
      </c>
      <c r="B23" s="4" t="s">
        <v>52</v>
      </c>
      <c r="C23" s="4" t="s">
        <v>53</v>
      </c>
      <c r="D23" s="4" t="s">
        <v>54</v>
      </c>
      <c r="E23" s="4" t="s">
        <v>53</v>
      </c>
      <c r="F23" s="4" t="s">
        <v>43</v>
      </c>
      <c r="G23" s="4" t="s">
        <v>56</v>
      </c>
      <c r="H23" s="4" t="s">
        <v>63</v>
      </c>
      <c r="I23" s="4" t="s">
        <v>75</v>
      </c>
      <c r="J23" s="4" t="n">
        <v>1000</v>
      </c>
      <c r="K23" s="5" t="n">
        <v>3918.63</v>
      </c>
      <c r="L23" s="5" t="n">
        <v>34190.75</v>
      </c>
      <c r="M23" s="5" t="n">
        <v>275.17</v>
      </c>
      <c r="N23" s="5" t="n">
        <v>1531.16</v>
      </c>
      <c r="O23" s="5" t="n">
        <v>32384.42</v>
      </c>
      <c r="P23" s="5" t="n">
        <v>3650.66</v>
      </c>
      <c r="Q23" s="5" t="n">
        <v>-680.8</v>
      </c>
      <c r="R23" s="6" t="n">
        <v>0.091706</v>
      </c>
      <c r="S23" s="5" t="n">
        <v>29414.56</v>
      </c>
      <c r="T23" s="5" t="n">
        <v>20880.27</v>
      </c>
      <c r="U23" s="5" t="n">
        <v>1973.5</v>
      </c>
      <c r="V23" s="5" t="n">
        <v>825.26</v>
      </c>
      <c r="W23" s="5" t="n">
        <v>23679.03</v>
      </c>
      <c r="X23" s="6" t="n">
        <v>0.805011</v>
      </c>
      <c r="Y23" s="5" t="n">
        <v>1131.44</v>
      </c>
      <c r="Z23" s="5"/>
      <c r="AA23" s="5" t="n">
        <v>4604.09</v>
      </c>
      <c r="AB23" s="6" t="n">
        <v>0.156524</v>
      </c>
      <c r="AC23" s="5" t="n">
        <v>1148.01</v>
      </c>
      <c r="AD23" s="5" t="n">
        <v>616.49</v>
      </c>
      <c r="AE23" s="5" t="n">
        <v>29.46</v>
      </c>
      <c r="AF23" s="5" t="n">
        <v>378.54</v>
      </c>
      <c r="AG23" s="5" t="n">
        <v>2431.59</v>
      </c>
      <c r="AH23" s="6" t="n">
        <v>0.082666</v>
      </c>
      <c r="AI23" s="5" t="n">
        <v>3.9186</v>
      </c>
      <c r="AJ23" s="5" t="n">
        <v>32.384</v>
      </c>
      <c r="AK23" s="5" t="n">
        <v>2.432</v>
      </c>
      <c r="AL23" s="5" t="n">
        <v>2619.59</v>
      </c>
      <c r="AM23" s="5" t="n">
        <v>23034.91</v>
      </c>
      <c r="AN23" s="7" t="n">
        <f aca="false">IF(AND(ISNUMBER(AM23),AM23&lt;&gt;0),AL23/AM23*365,"")</f>
        <v>41.5087512822928</v>
      </c>
    </row>
    <row r="24" customFormat="false" ht="15" hidden="false" customHeight="true" outlineLevel="0" collapsed="false">
      <c r="A24" s="4" t="n">
        <v>21</v>
      </c>
      <c r="B24" s="4" t="s">
        <v>61</v>
      </c>
      <c r="C24" s="4" t="s">
        <v>53</v>
      </c>
      <c r="D24" s="4" t="s">
        <v>54</v>
      </c>
      <c r="E24" s="4" t="s">
        <v>53</v>
      </c>
      <c r="F24" s="4" t="s">
        <v>43</v>
      </c>
      <c r="G24" s="4" t="s">
        <v>59</v>
      </c>
      <c r="H24" s="4" t="s">
        <v>50</v>
      </c>
      <c r="I24" s="4" t="s">
        <v>76</v>
      </c>
      <c r="J24" s="4" t="n">
        <v>540</v>
      </c>
      <c r="K24" s="5" t="n">
        <v>6280.74</v>
      </c>
      <c r="L24" s="5" t="n">
        <v>62061.29</v>
      </c>
      <c r="M24" s="5" t="n">
        <v>1191.37</v>
      </c>
      <c r="N24" s="5" t="n">
        <v>4145.57</v>
      </c>
      <c r="O24" s="5" t="n">
        <v>56724.35</v>
      </c>
      <c r="P24" s="5" t="n">
        <v>9409.72</v>
      </c>
      <c r="Q24" s="5" t="n">
        <v>-804.88</v>
      </c>
      <c r="R24" s="6" t="n">
        <v>0.151696</v>
      </c>
      <c r="S24" s="5" t="n">
        <v>48119.51</v>
      </c>
      <c r="T24" s="5" t="n">
        <v>31896.27</v>
      </c>
      <c r="U24" s="5" t="n">
        <v>3116.72</v>
      </c>
      <c r="V24" s="5" t="n">
        <v>571.07</v>
      </c>
      <c r="W24" s="5" t="n">
        <v>35584.06</v>
      </c>
      <c r="X24" s="6" t="n">
        <v>0.739493</v>
      </c>
      <c r="Y24" s="5" t="n">
        <v>2336.68</v>
      </c>
      <c r="Z24" s="5"/>
      <c r="AA24" s="5" t="n">
        <v>10198.77</v>
      </c>
      <c r="AB24" s="6" t="n">
        <v>0.211947</v>
      </c>
      <c r="AC24" s="5" t="n">
        <v>1782.64</v>
      </c>
      <c r="AD24" s="5" t="n">
        <v>779.94</v>
      </c>
      <c r="AE24" s="5" t="n">
        <v>203.37</v>
      </c>
      <c r="AF24" s="5" t="n">
        <v>552.1</v>
      </c>
      <c r="AG24" s="5" t="n">
        <v>6880.72</v>
      </c>
      <c r="AH24" s="6" t="n">
        <v>0.142992</v>
      </c>
      <c r="AI24" s="5" t="n">
        <v>6.2807</v>
      </c>
      <c r="AJ24" s="5" t="n">
        <v>56.724</v>
      </c>
      <c r="AK24" s="5" t="n">
        <v>6.881</v>
      </c>
      <c r="AL24" s="5" t="n">
        <v>11232.35</v>
      </c>
      <c r="AM24" s="5" t="n">
        <v>37371.53</v>
      </c>
      <c r="AN24" s="7" t="n">
        <f aca="false">IF(AND(ISNUMBER(AM24),AM24&lt;&gt;0),AL24/AM24*365,"")</f>
        <v>109.704038073903</v>
      </c>
    </row>
    <row r="25" customFormat="false" ht="15" hidden="false" customHeight="true" outlineLevel="0" collapsed="false">
      <c r="A25" s="4" t="n">
        <v>22</v>
      </c>
      <c r="B25" s="4" t="s">
        <v>41</v>
      </c>
      <c r="C25" s="4" t="s">
        <v>47</v>
      </c>
      <c r="D25" s="4" t="s">
        <v>41</v>
      </c>
      <c r="E25" s="4" t="s">
        <v>47</v>
      </c>
      <c r="F25" s="4" t="s">
        <v>48</v>
      </c>
      <c r="G25" s="4" t="s">
        <v>56</v>
      </c>
      <c r="H25" s="4" t="s">
        <v>50</v>
      </c>
      <c r="I25" s="4" t="s">
        <v>77</v>
      </c>
      <c r="J25" s="4" t="n">
        <v>1000</v>
      </c>
      <c r="K25" s="5" t="n">
        <v>2574.89</v>
      </c>
      <c r="L25" s="5" t="n">
        <v>24690.78</v>
      </c>
      <c r="M25" s="5" t="n">
        <v>244.13</v>
      </c>
      <c r="N25" s="5" t="n">
        <v>1041.93</v>
      </c>
      <c r="O25" s="5" t="n">
        <v>23404.72</v>
      </c>
      <c r="P25" s="5" t="n">
        <v>3875.96</v>
      </c>
      <c r="Q25" s="5" t="n">
        <v>-6.49</v>
      </c>
      <c r="R25" s="6" t="n">
        <v>0.165329</v>
      </c>
      <c r="S25" s="5" t="n">
        <v>19535.25</v>
      </c>
      <c r="T25" s="5" t="n">
        <v>13238.33</v>
      </c>
      <c r="U25" s="5" t="n">
        <v>1383.13</v>
      </c>
      <c r="V25" s="5" t="n">
        <v>237</v>
      </c>
      <c r="W25" s="5" t="n">
        <v>14858.46</v>
      </c>
      <c r="X25" s="6" t="n">
        <v>0.760597</v>
      </c>
      <c r="Y25" s="5" t="n">
        <v>639.87</v>
      </c>
      <c r="Z25" s="5"/>
      <c r="AA25" s="5" t="n">
        <v>4036.92</v>
      </c>
      <c r="AB25" s="6" t="n">
        <v>0.206648</v>
      </c>
      <c r="AC25" s="5" t="n">
        <v>689.14</v>
      </c>
      <c r="AD25" s="5" t="n">
        <v>569.63</v>
      </c>
      <c r="AE25" s="5" t="n">
        <v>60.01</v>
      </c>
      <c r="AF25" s="5" t="n">
        <v>205.16</v>
      </c>
      <c r="AG25" s="5" t="n">
        <v>2512.98</v>
      </c>
      <c r="AH25" s="6" t="n">
        <v>0.128638</v>
      </c>
      <c r="AI25" s="5" t="n">
        <v>2.5749</v>
      </c>
      <c r="AJ25" s="5" t="n">
        <v>23.405</v>
      </c>
      <c r="AK25" s="5" t="n">
        <v>2.513</v>
      </c>
      <c r="AL25" s="5" t="n">
        <v>5516.58</v>
      </c>
      <c r="AM25" s="5" t="n">
        <v>16066.77</v>
      </c>
      <c r="AN25" s="7" t="n">
        <f aca="false">IF(AND(ISNUMBER(AM25),AM25&lt;&gt;0),AL25/AM25*365,"")</f>
        <v>125.323988580156</v>
      </c>
    </row>
    <row r="26" customFormat="false" ht="15" hidden="false" customHeight="true" outlineLevel="0" collapsed="false">
      <c r="A26" s="4" t="n">
        <v>23</v>
      </c>
      <c r="B26" s="4" t="s">
        <v>58</v>
      </c>
      <c r="C26" s="4" t="s">
        <v>42</v>
      </c>
      <c r="D26" s="4" t="s">
        <v>54</v>
      </c>
      <c r="E26" s="4" t="s">
        <v>42</v>
      </c>
      <c r="F26" s="4" t="s">
        <v>48</v>
      </c>
      <c r="G26" s="4" t="s">
        <v>44</v>
      </c>
      <c r="H26" s="4" t="s">
        <v>50</v>
      </c>
      <c r="I26" s="4" t="s">
        <v>60</v>
      </c>
      <c r="J26" s="4" t="n">
        <v>1000</v>
      </c>
      <c r="K26" s="5" t="n">
        <v>7266.79</v>
      </c>
      <c r="L26" s="5" t="n">
        <v>75212.14</v>
      </c>
      <c r="M26" s="5" t="n">
        <v>1340.92</v>
      </c>
      <c r="N26" s="5" t="n">
        <v>4560.31</v>
      </c>
      <c r="O26" s="5" t="n">
        <v>69310.91</v>
      </c>
      <c r="P26" s="5" t="n">
        <v>11916.44</v>
      </c>
      <c r="Q26" s="5" t="n">
        <v>-1749.33</v>
      </c>
      <c r="R26" s="6" t="n">
        <v>0.146688</v>
      </c>
      <c r="S26" s="5" t="n">
        <v>59143.8</v>
      </c>
      <c r="T26" s="5" t="n">
        <v>40880</v>
      </c>
      <c r="U26" s="5" t="n">
        <v>3661.88</v>
      </c>
      <c r="V26" s="5" t="n">
        <v>1652.72</v>
      </c>
      <c r="W26" s="5" t="n">
        <v>46194.6</v>
      </c>
      <c r="X26" s="6" t="n">
        <v>0.781056</v>
      </c>
      <c r="Y26" s="5" t="n">
        <v>2502.35</v>
      </c>
      <c r="Z26" s="5"/>
      <c r="AA26" s="5" t="n">
        <v>10446.85</v>
      </c>
      <c r="AB26" s="6" t="n">
        <v>0.176635</v>
      </c>
      <c r="AC26" s="5" t="n">
        <v>2616.54</v>
      </c>
      <c r="AD26" s="5" t="n">
        <v>898.03</v>
      </c>
      <c r="AE26" s="5" t="n">
        <v>117.63</v>
      </c>
      <c r="AF26" s="5" t="n">
        <v>968.58</v>
      </c>
      <c r="AG26" s="5" t="n">
        <v>5846.07</v>
      </c>
      <c r="AH26" s="6" t="n">
        <v>0.098845</v>
      </c>
      <c r="AI26" s="5" t="n">
        <v>7.2668</v>
      </c>
      <c r="AJ26" s="5" t="n">
        <v>69.311</v>
      </c>
      <c r="AK26" s="5" t="n">
        <v>5.846</v>
      </c>
      <c r="AL26" s="5" t="n">
        <v>12465.12</v>
      </c>
      <c r="AM26" s="5" t="n">
        <v>48003.37</v>
      </c>
      <c r="AN26" s="7" t="n">
        <f aca="false">IF(AND(ISNUMBER(AM26),AM26&lt;&gt;0),AL26/AM26*365,"")</f>
        <v>94.7801956404311</v>
      </c>
    </row>
    <row r="27" customFormat="false" ht="15" hidden="false" customHeight="true" outlineLevel="0" collapsed="false">
      <c r="A27" s="4" t="n">
        <v>24</v>
      </c>
      <c r="B27" s="4" t="s">
        <v>61</v>
      </c>
      <c r="C27" s="4" t="s">
        <v>47</v>
      </c>
      <c r="D27" s="4" t="s">
        <v>54</v>
      </c>
      <c r="E27" s="4" t="s">
        <v>47</v>
      </c>
      <c r="F27" s="4" t="s">
        <v>43</v>
      </c>
      <c r="G27" s="4" t="s">
        <v>59</v>
      </c>
      <c r="H27" s="4" t="s">
        <v>45</v>
      </c>
      <c r="I27" s="4" t="s">
        <v>78</v>
      </c>
      <c r="J27" s="4" t="n">
        <v>540</v>
      </c>
      <c r="K27" s="5" t="n">
        <v>3479.07</v>
      </c>
      <c r="L27" s="5" t="n">
        <v>29429.9</v>
      </c>
      <c r="M27" s="5" t="n">
        <v>317.93</v>
      </c>
      <c r="N27" s="5" t="n">
        <v>1086.51</v>
      </c>
      <c r="O27" s="5" t="n">
        <v>28025.46</v>
      </c>
      <c r="P27" s="5" t="n">
        <v>3450.67</v>
      </c>
      <c r="Q27" s="5" t="n">
        <v>-972.41</v>
      </c>
      <c r="R27" s="6" t="n">
        <v>0.088429</v>
      </c>
      <c r="S27" s="5" t="n">
        <v>25547.2</v>
      </c>
      <c r="T27" s="5" t="n">
        <v>17118.96</v>
      </c>
      <c r="U27" s="5" t="n">
        <v>1087.52</v>
      </c>
      <c r="V27" s="5" t="n">
        <v>463.73</v>
      </c>
      <c r="W27" s="5" t="n">
        <v>18670.21</v>
      </c>
      <c r="X27" s="6" t="n">
        <v>0.730812</v>
      </c>
      <c r="Y27" s="5" t="n">
        <v>926.81</v>
      </c>
      <c r="Z27" s="5"/>
      <c r="AA27" s="5" t="n">
        <v>5950.18</v>
      </c>
      <c r="AB27" s="6" t="n">
        <v>0.232909</v>
      </c>
      <c r="AC27" s="5" t="n">
        <v>1085.07</v>
      </c>
      <c r="AD27" s="5" t="n">
        <v>361.15</v>
      </c>
      <c r="AE27" s="5" t="n">
        <v>68.48</v>
      </c>
      <c r="AF27" s="5" t="n">
        <v>486.63</v>
      </c>
      <c r="AG27" s="5" t="n">
        <v>3948.85</v>
      </c>
      <c r="AH27" s="6" t="n">
        <v>0.154571</v>
      </c>
      <c r="AI27" s="5" t="n">
        <v>3.4791</v>
      </c>
      <c r="AJ27" s="5" t="n">
        <v>28.025</v>
      </c>
      <c r="AK27" s="5" t="n">
        <v>3.949</v>
      </c>
      <c r="AL27" s="5"/>
      <c r="AM27" s="5"/>
      <c r="AN27" s="7" t="str">
        <f aca="false">IF(AND(ISNUMBER(AM27),AM27&lt;&gt;0),AL27/AM27*365,"")</f>
        <v/>
      </c>
    </row>
    <row r="28" customFormat="false" ht="15" hidden="false" customHeight="true" outlineLevel="0" collapsed="false">
      <c r="A28" s="4" t="n">
        <v>25</v>
      </c>
      <c r="B28" s="4" t="s">
        <v>41</v>
      </c>
      <c r="C28" s="4" t="s">
        <v>53</v>
      </c>
      <c r="D28" s="4" t="s">
        <v>41</v>
      </c>
      <c r="E28" s="4" t="s">
        <v>53</v>
      </c>
      <c r="F28" s="4" t="s">
        <v>48</v>
      </c>
      <c r="G28" s="4" t="s">
        <v>59</v>
      </c>
      <c r="H28" s="4" t="s">
        <v>45</v>
      </c>
      <c r="I28" s="4" t="s">
        <v>72</v>
      </c>
      <c r="J28" s="4" t="n">
        <v>720</v>
      </c>
      <c r="K28" s="5" t="n">
        <v>9115.66</v>
      </c>
      <c r="L28" s="5" t="n">
        <v>91706.67</v>
      </c>
      <c r="M28" s="5" t="n">
        <v>1748.72</v>
      </c>
      <c r="N28" s="5" t="n">
        <v>4672.55</v>
      </c>
      <c r="O28" s="5" t="n">
        <v>85285.4</v>
      </c>
      <c r="P28" s="5" t="n">
        <v>14903.76</v>
      </c>
      <c r="Q28" s="5" t="n">
        <v>-2328.86</v>
      </c>
      <c r="R28" s="6" t="n">
        <v>0.147445</v>
      </c>
      <c r="S28" s="5" t="n">
        <v>72710.5</v>
      </c>
      <c r="T28" s="5" t="n">
        <v>47447.45</v>
      </c>
      <c r="U28" s="5" t="n">
        <v>3549.84</v>
      </c>
      <c r="V28" s="5" t="n">
        <v>1046.19</v>
      </c>
      <c r="W28" s="5" t="n">
        <v>52043.48</v>
      </c>
      <c r="X28" s="6" t="n">
        <v>0.715763</v>
      </c>
      <c r="Y28" s="5" t="n">
        <v>2404.91</v>
      </c>
      <c r="Z28" s="5"/>
      <c r="AA28" s="5" t="n">
        <v>18262.11</v>
      </c>
      <c r="AB28" s="6" t="n">
        <v>0.251162</v>
      </c>
      <c r="AC28" s="5" t="n">
        <v>2244.63</v>
      </c>
      <c r="AD28" s="5" t="n">
        <v>1215.91</v>
      </c>
      <c r="AE28" s="5" t="n">
        <v>270.23</v>
      </c>
      <c r="AF28" s="5" t="n">
        <v>1021.09</v>
      </c>
      <c r="AG28" s="5" t="n">
        <v>13510.25</v>
      </c>
      <c r="AH28" s="6" t="n">
        <v>0.185809</v>
      </c>
      <c r="AI28" s="5" t="n">
        <v>9.1157</v>
      </c>
      <c r="AJ28" s="5" t="n">
        <v>85.285</v>
      </c>
      <c r="AK28" s="5" t="n">
        <v>13.51</v>
      </c>
      <c r="AL28" s="5" t="n">
        <v>6442.68</v>
      </c>
      <c r="AM28" s="5" t="n">
        <v>53142.37</v>
      </c>
      <c r="AN28" s="7" t="n">
        <f aca="false">IF(AND(ISNUMBER(AM28),AM28&lt;&gt;0),AL28/AM28*365,"")</f>
        <v>44.2505330492411</v>
      </c>
    </row>
    <row r="29" customFormat="false" ht="15" hidden="false" customHeight="true" outlineLevel="0" collapsed="false">
      <c r="A29" s="4" t="n">
        <v>26</v>
      </c>
      <c r="B29" s="4" t="s">
        <v>58</v>
      </c>
      <c r="C29" s="4" t="s">
        <v>79</v>
      </c>
      <c r="D29" s="4" t="s">
        <v>54</v>
      </c>
      <c r="E29" s="4" t="s">
        <v>79</v>
      </c>
      <c r="F29" s="4" t="s">
        <v>55</v>
      </c>
      <c r="G29" s="4" t="s">
        <v>56</v>
      </c>
      <c r="H29" s="4" t="s">
        <v>50</v>
      </c>
      <c r="I29" s="4" t="s">
        <v>71</v>
      </c>
      <c r="J29" s="4" t="n">
        <v>1000</v>
      </c>
      <c r="K29" s="5" t="n">
        <v>8057.1</v>
      </c>
      <c r="L29" s="5" t="n">
        <v>62457.37</v>
      </c>
      <c r="M29" s="5" t="n">
        <v>535.4</v>
      </c>
      <c r="N29" s="5" t="n">
        <v>4580.78</v>
      </c>
      <c r="O29" s="5" t="n">
        <v>57341.19</v>
      </c>
      <c r="P29" s="5" t="n">
        <v>6776.17</v>
      </c>
      <c r="Q29" s="5" t="n">
        <v>-745.88</v>
      </c>
      <c r="R29" s="6" t="n">
        <v>0.105165</v>
      </c>
      <c r="S29" s="5" t="n">
        <v>51310.9</v>
      </c>
      <c r="T29" s="5" t="n">
        <v>31076.44</v>
      </c>
      <c r="U29" s="5" t="n">
        <v>2985.68</v>
      </c>
      <c r="V29" s="5" t="n">
        <v>859.46</v>
      </c>
      <c r="W29" s="5" t="n">
        <v>34921.58</v>
      </c>
      <c r="X29" s="6" t="n">
        <v>0.680588</v>
      </c>
      <c r="Y29" s="5" t="n">
        <v>2380.27</v>
      </c>
      <c r="Z29" s="5"/>
      <c r="AA29" s="5" t="n">
        <v>14009.05</v>
      </c>
      <c r="AB29" s="6" t="n">
        <v>0.273023</v>
      </c>
      <c r="AC29" s="5" t="n">
        <v>1967.65</v>
      </c>
      <c r="AD29" s="5" t="n">
        <v>1489.25</v>
      </c>
      <c r="AE29" s="5" t="n">
        <v>137.83</v>
      </c>
      <c r="AF29" s="5" t="n">
        <v>941.51</v>
      </c>
      <c r="AG29" s="5" t="n">
        <v>9472.81</v>
      </c>
      <c r="AH29" s="6" t="n">
        <v>0.184616</v>
      </c>
      <c r="AI29" s="5" t="n">
        <v>8.0571</v>
      </c>
      <c r="AJ29" s="5" t="n">
        <v>57.341</v>
      </c>
      <c r="AK29" s="5" t="n">
        <v>9.473</v>
      </c>
      <c r="AL29" s="5" t="n">
        <v>16493.49</v>
      </c>
      <c r="AM29" s="5" t="n">
        <v>36850.08</v>
      </c>
      <c r="AN29" s="7" t="n">
        <f aca="false">IF(AND(ISNUMBER(AM29),AM29&lt;&gt;0),AL29/AM29*365,"")</f>
        <v>163.367999472457</v>
      </c>
    </row>
    <row r="30" customFormat="false" ht="15" hidden="false" customHeight="true" outlineLevel="0" collapsed="false">
      <c r="A30" s="4" t="n">
        <v>27</v>
      </c>
      <c r="B30" s="4" t="s">
        <v>61</v>
      </c>
      <c r="C30" s="4" t="s">
        <v>42</v>
      </c>
      <c r="D30" s="4" t="s">
        <v>54</v>
      </c>
      <c r="E30" s="4" t="s">
        <v>42</v>
      </c>
      <c r="F30" s="4" t="s">
        <v>67</v>
      </c>
      <c r="G30" s="4" t="s">
        <v>49</v>
      </c>
      <c r="H30" s="4" t="s">
        <v>45</v>
      </c>
      <c r="I30" s="4" t="s">
        <v>73</v>
      </c>
      <c r="J30" s="4" t="n">
        <v>400</v>
      </c>
      <c r="K30" s="5" t="n">
        <v>9124.53</v>
      </c>
      <c r="L30" s="5" t="n">
        <v>94428.26</v>
      </c>
      <c r="M30" s="5" t="n">
        <v>376.51</v>
      </c>
      <c r="N30" s="5" t="n">
        <v>2929.07</v>
      </c>
      <c r="O30" s="5" t="n">
        <v>91122.68</v>
      </c>
      <c r="P30" s="5" t="n">
        <v>10500.82</v>
      </c>
      <c r="Q30" s="5" t="n">
        <v>-575.08</v>
      </c>
      <c r="R30" s="6" t="n">
        <v>0.108927</v>
      </c>
      <c r="S30" s="5" t="n">
        <v>81196.94</v>
      </c>
      <c r="T30" s="5" t="n">
        <v>53899.18</v>
      </c>
      <c r="U30" s="5" t="n">
        <v>5079.58</v>
      </c>
      <c r="V30" s="5" t="n">
        <v>1165.93</v>
      </c>
      <c r="W30" s="5" t="n">
        <v>60144.69</v>
      </c>
      <c r="X30" s="6" t="n">
        <v>0.740726</v>
      </c>
      <c r="Y30" s="5" t="n">
        <v>3327.77</v>
      </c>
      <c r="Z30" s="5"/>
      <c r="AA30" s="5" t="n">
        <v>17724.48</v>
      </c>
      <c r="AB30" s="6" t="n">
        <v>0.21829</v>
      </c>
      <c r="AC30" s="5" t="n">
        <v>4304</v>
      </c>
      <c r="AD30" s="5" t="n">
        <v>1084.45</v>
      </c>
      <c r="AE30" s="5" t="n">
        <v>278.42</v>
      </c>
      <c r="AF30" s="5" t="n">
        <v>1419.26</v>
      </c>
      <c r="AG30" s="5" t="n">
        <v>10638.35</v>
      </c>
      <c r="AH30" s="6" t="n">
        <v>0.131019</v>
      </c>
      <c r="AI30" s="5" t="n">
        <v>9.1245</v>
      </c>
      <c r="AJ30" s="5" t="n">
        <v>91.123</v>
      </c>
      <c r="AK30" s="5" t="n">
        <v>10.638</v>
      </c>
      <c r="AL30" s="5" t="n">
        <v>15171.61</v>
      </c>
      <c r="AM30" s="5" t="n">
        <v>64552.62</v>
      </c>
      <c r="AN30" s="7" t="n">
        <f aca="false">IF(AND(ISNUMBER(AM30),AM30&lt;&gt;0),AL30/AM30*365,"")</f>
        <v>85.7848627987524</v>
      </c>
    </row>
    <row r="31" customFormat="false" ht="15" hidden="false" customHeight="true" outlineLevel="0" collapsed="false">
      <c r="A31" s="4" t="n">
        <v>28</v>
      </c>
      <c r="B31" s="4" t="s">
        <v>41</v>
      </c>
      <c r="C31" s="4" t="s">
        <v>47</v>
      </c>
      <c r="D31" s="4" t="s">
        <v>41</v>
      </c>
      <c r="E31" s="4" t="s">
        <v>47</v>
      </c>
      <c r="F31" s="4" t="s">
        <v>43</v>
      </c>
      <c r="G31" s="4" t="s">
        <v>56</v>
      </c>
      <c r="H31" s="4" t="s">
        <v>63</v>
      </c>
      <c r="I31" s="4" t="s">
        <v>64</v>
      </c>
      <c r="J31" s="4" t="n">
        <v>720</v>
      </c>
      <c r="K31" s="5" t="n">
        <v>7036.82</v>
      </c>
      <c r="L31" s="5" t="n">
        <v>71945</v>
      </c>
      <c r="M31" s="5" t="n">
        <v>540.03</v>
      </c>
      <c r="N31" s="5" t="n">
        <v>5545.06</v>
      </c>
      <c r="O31" s="5" t="n">
        <v>65859.91</v>
      </c>
      <c r="P31" s="5" t="n">
        <v>7892.19</v>
      </c>
      <c r="Q31" s="5" t="n">
        <v>-1949.78</v>
      </c>
      <c r="R31" s="6" t="n">
        <v>0.090228</v>
      </c>
      <c r="S31" s="5" t="n">
        <v>59917.5</v>
      </c>
      <c r="T31" s="5" t="n">
        <v>41414.81</v>
      </c>
      <c r="U31" s="5" t="n">
        <v>2978.74</v>
      </c>
      <c r="V31" s="5" t="n">
        <v>1434.66</v>
      </c>
      <c r="W31" s="5" t="n">
        <v>45828.21</v>
      </c>
      <c r="X31" s="6" t="n">
        <v>0.764855</v>
      </c>
      <c r="Y31" s="5" t="n">
        <v>1740.45</v>
      </c>
      <c r="Z31" s="5"/>
      <c r="AA31" s="5" t="n">
        <v>12348.84</v>
      </c>
      <c r="AB31" s="6" t="n">
        <v>0.206097</v>
      </c>
      <c r="AC31" s="5" t="n">
        <v>3027.5</v>
      </c>
      <c r="AD31" s="5" t="n">
        <v>1564.48</v>
      </c>
      <c r="AE31" s="5" t="n">
        <v>250.75</v>
      </c>
      <c r="AF31" s="5" t="n">
        <v>938.27</v>
      </c>
      <c r="AG31" s="5" t="n">
        <v>6567.84</v>
      </c>
      <c r="AH31" s="6" t="n">
        <v>0.109615</v>
      </c>
      <c r="AI31" s="5" t="n">
        <v>7.0368</v>
      </c>
      <c r="AJ31" s="5" t="n">
        <v>65.86</v>
      </c>
      <c r="AK31" s="5" t="n">
        <v>6.568</v>
      </c>
      <c r="AL31" s="5" t="n">
        <v>12591.34</v>
      </c>
      <c r="AM31" s="5" t="n">
        <v>48133.27</v>
      </c>
      <c r="AN31" s="7" t="n">
        <f aca="false">IF(AND(ISNUMBER(AM31),AM31&lt;&gt;0),AL31/AM31*365,"")</f>
        <v>95.4815473787674</v>
      </c>
    </row>
    <row r="32" customFormat="false" ht="15" hidden="false" customHeight="true" outlineLevel="0" collapsed="false">
      <c r="A32" s="4" t="n">
        <v>29</v>
      </c>
      <c r="B32" s="4" t="s">
        <v>41</v>
      </c>
      <c r="C32" s="4" t="s">
        <v>66</v>
      </c>
      <c r="D32" s="4" t="s">
        <v>41</v>
      </c>
      <c r="E32" s="4" t="s">
        <v>66</v>
      </c>
      <c r="F32" s="4" t="s">
        <v>48</v>
      </c>
      <c r="G32" s="4" t="s">
        <v>49</v>
      </c>
      <c r="H32" s="4" t="s">
        <v>45</v>
      </c>
      <c r="I32" s="4" t="s">
        <v>62</v>
      </c>
      <c r="J32" s="4" t="n">
        <v>720</v>
      </c>
      <c r="K32" s="5" t="n">
        <v>448.03</v>
      </c>
      <c r="L32" s="5" t="n">
        <v>3924.82</v>
      </c>
      <c r="M32" s="5" t="n">
        <v>38.48</v>
      </c>
      <c r="N32" s="5" t="n">
        <v>202.82</v>
      </c>
      <c r="O32" s="5" t="n">
        <v>3683.52</v>
      </c>
      <c r="P32" s="5" t="n">
        <v>501.76</v>
      </c>
      <c r="Q32" s="5" t="n">
        <v>-164.21</v>
      </c>
      <c r="R32" s="6" t="n">
        <v>0.091638</v>
      </c>
      <c r="S32" s="5" t="n">
        <v>3345.97</v>
      </c>
      <c r="T32" s="5" t="n">
        <v>2101.79</v>
      </c>
      <c r="U32" s="5" t="n">
        <v>154.31</v>
      </c>
      <c r="V32" s="5" t="n">
        <v>45.25</v>
      </c>
      <c r="W32" s="5" t="n">
        <v>2301.35</v>
      </c>
      <c r="X32" s="6" t="n">
        <v>0.687798</v>
      </c>
      <c r="Y32" s="5" t="n">
        <v>119.29</v>
      </c>
      <c r="Z32" s="5"/>
      <c r="AA32" s="5" t="n">
        <v>925.33</v>
      </c>
      <c r="AB32" s="6" t="n">
        <v>0.276551</v>
      </c>
      <c r="AC32" s="5" t="n">
        <v>165.67</v>
      </c>
      <c r="AD32" s="5" t="n">
        <v>74.68</v>
      </c>
      <c r="AE32" s="5" t="n">
        <v>15.65</v>
      </c>
      <c r="AF32" s="5" t="n">
        <v>59.38</v>
      </c>
      <c r="AG32" s="5" t="n">
        <v>609.95</v>
      </c>
      <c r="AH32" s="6" t="n">
        <v>0.182294</v>
      </c>
      <c r="AI32" s="5" t="n">
        <v>0.448</v>
      </c>
      <c r="AJ32" s="5" t="n">
        <v>3.684</v>
      </c>
      <c r="AK32" s="5" t="n">
        <v>0.61</v>
      </c>
      <c r="AL32" s="5" t="n">
        <v>270.74</v>
      </c>
      <c r="AM32" s="5" t="n">
        <v>2244.29</v>
      </c>
      <c r="AN32" s="7" t="n">
        <f aca="false">IF(AND(ISNUMBER(AM32),AM32&lt;&gt;0),AL32/AM32*365,"")</f>
        <v>44.0317873358612</v>
      </c>
    </row>
    <row r="33" customFormat="false" ht="15" hidden="false" customHeight="true" outlineLevel="0" collapsed="false">
      <c r="A33" s="4" t="n">
        <v>30</v>
      </c>
      <c r="B33" s="4" t="s">
        <v>61</v>
      </c>
      <c r="C33" s="4" t="s">
        <v>79</v>
      </c>
      <c r="D33" s="4" t="s">
        <v>54</v>
      </c>
      <c r="E33" s="4" t="s">
        <v>79</v>
      </c>
      <c r="F33" s="4" t="s">
        <v>43</v>
      </c>
      <c r="G33" s="4" t="s">
        <v>49</v>
      </c>
      <c r="H33" s="4" t="s">
        <v>45</v>
      </c>
      <c r="I33" s="4" t="s">
        <v>73</v>
      </c>
      <c r="J33" s="4" t="n">
        <v>720</v>
      </c>
      <c r="K33" s="5" t="n">
        <v>10615.08</v>
      </c>
      <c r="L33" s="5" t="n">
        <v>87378.99</v>
      </c>
      <c r="M33" s="5" t="n">
        <v>812.12</v>
      </c>
      <c r="N33" s="5" t="n">
        <v>5287.88</v>
      </c>
      <c r="O33" s="5" t="n">
        <v>81278.99</v>
      </c>
      <c r="P33" s="5" t="n">
        <v>11208.29</v>
      </c>
      <c r="Q33" s="5" t="n">
        <v>-116.64</v>
      </c>
      <c r="R33" s="6" t="n">
        <v>0.136464</v>
      </c>
      <c r="S33" s="5" t="n">
        <v>70187.34</v>
      </c>
      <c r="T33" s="5" t="n">
        <v>48756.48</v>
      </c>
      <c r="U33" s="5" t="n">
        <v>3318.01</v>
      </c>
      <c r="V33" s="5" t="n">
        <v>999.64</v>
      </c>
      <c r="W33" s="5" t="n">
        <v>53074.13</v>
      </c>
      <c r="X33" s="6" t="n">
        <v>0.756178</v>
      </c>
      <c r="Y33" s="5" t="n">
        <v>3083.68</v>
      </c>
      <c r="Z33" s="5"/>
      <c r="AA33" s="5" t="n">
        <v>14029.53</v>
      </c>
      <c r="AB33" s="6" t="n">
        <v>0.199887</v>
      </c>
      <c r="AC33" s="5" t="n">
        <v>2822.24</v>
      </c>
      <c r="AD33" s="5" t="n">
        <v>1937.62</v>
      </c>
      <c r="AE33" s="5" t="n">
        <v>267.04</v>
      </c>
      <c r="AF33" s="5" t="n">
        <v>895.78</v>
      </c>
      <c r="AG33" s="5" t="n">
        <v>8106.85</v>
      </c>
      <c r="AH33" s="6" t="n">
        <v>0.115503</v>
      </c>
      <c r="AI33" s="5" t="n">
        <v>10.6151</v>
      </c>
      <c r="AJ33" s="5" t="n">
        <v>81.279</v>
      </c>
      <c r="AK33" s="5" t="n">
        <v>8.107</v>
      </c>
      <c r="AL33" s="5" t="n">
        <v>10553.38</v>
      </c>
      <c r="AM33" s="5" t="n">
        <v>56536.42</v>
      </c>
      <c r="AN33" s="7" t="n">
        <f aca="false">IF(AND(ISNUMBER(AM33),AM33&lt;&gt;0),AL33/AM33*365,"")</f>
        <v>68.1327841416206</v>
      </c>
    </row>
    <row r="34" customFormat="false" ht="15" hidden="false" customHeight="true" outlineLevel="0" collapsed="false">
      <c r="A34" s="4" t="n">
        <v>31</v>
      </c>
      <c r="B34" s="4" t="s">
        <v>41</v>
      </c>
      <c r="C34" s="4" t="s">
        <v>53</v>
      </c>
      <c r="D34" s="4" t="s">
        <v>41</v>
      </c>
      <c r="E34" s="4" t="s">
        <v>53</v>
      </c>
      <c r="F34" s="4" t="s">
        <v>55</v>
      </c>
      <c r="G34" s="4" t="s">
        <v>56</v>
      </c>
      <c r="H34" s="4" t="s">
        <v>45</v>
      </c>
      <c r="I34" s="4" t="s">
        <v>80</v>
      </c>
      <c r="J34" s="4" t="n">
        <v>800</v>
      </c>
      <c r="K34" s="5" t="n">
        <v>6795.56</v>
      </c>
      <c r="L34" s="5" t="n">
        <v>55866.11</v>
      </c>
      <c r="M34" s="5" t="n">
        <v>531.95</v>
      </c>
      <c r="N34" s="5" t="n">
        <v>3664.38</v>
      </c>
      <c r="O34" s="5" t="n">
        <v>51669.78</v>
      </c>
      <c r="P34" s="5" t="n">
        <v>7482.69</v>
      </c>
      <c r="Q34" s="5" t="n">
        <v>-44.55</v>
      </c>
      <c r="R34" s="6" t="n">
        <v>0.143955</v>
      </c>
      <c r="S34" s="5" t="n">
        <v>44231.64</v>
      </c>
      <c r="T34" s="5" t="n">
        <v>26539.87</v>
      </c>
      <c r="U34" s="5" t="n">
        <v>2484.76</v>
      </c>
      <c r="V34" s="5" t="n">
        <v>657.55</v>
      </c>
      <c r="W34" s="5" t="n">
        <v>29682.18</v>
      </c>
      <c r="X34" s="6" t="n">
        <v>0.671062</v>
      </c>
      <c r="Y34" s="5" t="n">
        <v>1765.67</v>
      </c>
      <c r="Z34" s="5"/>
      <c r="AA34" s="5" t="n">
        <v>12783.79</v>
      </c>
      <c r="AB34" s="6" t="n">
        <v>0.289019</v>
      </c>
      <c r="AC34" s="5" t="n">
        <v>1816.62</v>
      </c>
      <c r="AD34" s="5" t="n">
        <v>931.94</v>
      </c>
      <c r="AE34" s="5" t="n">
        <v>105.05</v>
      </c>
      <c r="AF34" s="5" t="n">
        <v>883.14</v>
      </c>
      <c r="AG34" s="5" t="n">
        <v>9047.04</v>
      </c>
      <c r="AH34" s="6" t="n">
        <v>0.204538</v>
      </c>
      <c r="AI34" s="5" t="n">
        <v>6.7956</v>
      </c>
      <c r="AJ34" s="5" t="n">
        <v>51.67</v>
      </c>
      <c r="AK34" s="5" t="n">
        <v>9.047</v>
      </c>
      <c r="AL34" s="5"/>
      <c r="AM34" s="5"/>
      <c r="AN34" s="7" t="str">
        <f aca="false">IF(AND(ISNUMBER(AM34),AM34&lt;&gt;0),AL34/AM34*365,"")</f>
        <v/>
      </c>
    </row>
    <row r="35" customFormat="false" ht="15" hidden="false" customHeight="true" outlineLevel="0" collapsed="false">
      <c r="A35" s="4" t="n">
        <v>32</v>
      </c>
      <c r="B35" s="4" t="s">
        <v>52</v>
      </c>
      <c r="C35" s="4" t="s">
        <v>66</v>
      </c>
      <c r="D35" s="4" t="s">
        <v>54</v>
      </c>
      <c r="E35" s="4" t="s">
        <v>66</v>
      </c>
      <c r="F35" s="4" t="s">
        <v>48</v>
      </c>
      <c r="G35" s="4" t="s">
        <v>49</v>
      </c>
      <c r="H35" s="4" t="s">
        <v>50</v>
      </c>
      <c r="I35" s="4" t="s">
        <v>81</v>
      </c>
      <c r="J35" s="4" t="n">
        <v>540</v>
      </c>
      <c r="K35" s="5" t="n">
        <v>1711.67</v>
      </c>
      <c r="L35" s="5" t="n">
        <v>13826.45</v>
      </c>
      <c r="M35" s="5" t="n">
        <v>33.06</v>
      </c>
      <c r="N35" s="5" t="n">
        <v>785.25</v>
      </c>
      <c r="O35" s="5" t="n">
        <v>13008.14</v>
      </c>
      <c r="P35" s="5" t="n">
        <v>2292.28</v>
      </c>
      <c r="Q35" s="5" t="n">
        <v>-120.42</v>
      </c>
      <c r="R35" s="6" t="n">
        <v>0.166962</v>
      </c>
      <c r="S35" s="5" t="n">
        <v>10836.28</v>
      </c>
      <c r="T35" s="5" t="n">
        <v>6358.57</v>
      </c>
      <c r="U35" s="5" t="n">
        <v>643.33</v>
      </c>
      <c r="V35" s="5" t="n">
        <v>265.4</v>
      </c>
      <c r="W35" s="5" t="n">
        <v>7267.3</v>
      </c>
      <c r="X35" s="6" t="n">
        <v>0.670645</v>
      </c>
      <c r="Y35" s="5" t="n">
        <v>534.21</v>
      </c>
      <c r="Z35" s="5"/>
      <c r="AA35" s="5" t="n">
        <v>3034.77</v>
      </c>
      <c r="AB35" s="6" t="n">
        <v>0.280056</v>
      </c>
      <c r="AC35" s="5" t="n">
        <v>495.64</v>
      </c>
      <c r="AD35" s="5" t="n">
        <v>169.7</v>
      </c>
      <c r="AE35" s="5" t="n">
        <v>15.19</v>
      </c>
      <c r="AF35" s="5" t="n">
        <v>129.4</v>
      </c>
      <c r="AG35" s="5" t="n">
        <v>2224.84</v>
      </c>
      <c r="AH35" s="6" t="n">
        <v>0.205314</v>
      </c>
      <c r="AI35" s="5" t="n">
        <v>1.7117</v>
      </c>
      <c r="AJ35" s="5" t="n">
        <v>13.008</v>
      </c>
      <c r="AK35" s="5" t="n">
        <v>2.225</v>
      </c>
      <c r="AL35" s="5" t="n">
        <v>2043.73</v>
      </c>
      <c r="AM35" s="5" t="n">
        <v>6991.78</v>
      </c>
      <c r="AN35" s="7" t="n">
        <f aca="false">IF(AND(ISNUMBER(AM35),AM35&lt;&gt;0),AL35/AM35*365,"")</f>
        <v>106.691207389249</v>
      </c>
    </row>
    <row r="36" customFormat="false" ht="15" hidden="false" customHeight="true" outlineLevel="0" collapsed="false">
      <c r="A36" s="4" t="n">
        <v>33</v>
      </c>
      <c r="B36" s="4" t="s">
        <v>58</v>
      </c>
      <c r="C36" s="4" t="s">
        <v>66</v>
      </c>
      <c r="D36" s="4" t="s">
        <v>54</v>
      </c>
      <c r="E36" s="4" t="s">
        <v>66</v>
      </c>
      <c r="F36" s="4" t="s">
        <v>55</v>
      </c>
      <c r="G36" s="4" t="s">
        <v>49</v>
      </c>
      <c r="H36" s="4" t="s">
        <v>45</v>
      </c>
      <c r="I36" s="4" t="s">
        <v>62</v>
      </c>
      <c r="J36" s="4" t="n">
        <v>540</v>
      </c>
      <c r="K36" s="5" t="n">
        <v>3509.44</v>
      </c>
      <c r="L36" s="5" t="n">
        <v>36578.49</v>
      </c>
      <c r="M36" s="5" t="n">
        <v>404.82</v>
      </c>
      <c r="N36" s="5" t="n">
        <v>2372.88</v>
      </c>
      <c r="O36" s="5" t="n">
        <v>33800.79</v>
      </c>
      <c r="P36" s="5" t="n">
        <v>3806.91</v>
      </c>
      <c r="Q36" s="5" t="n">
        <v>-1467.73</v>
      </c>
      <c r="R36" s="6" t="n">
        <v>0.069205</v>
      </c>
      <c r="S36" s="5" t="n">
        <v>31461.61</v>
      </c>
      <c r="T36" s="5" t="n">
        <v>19929.34</v>
      </c>
      <c r="U36" s="5" t="n">
        <v>2356.75</v>
      </c>
      <c r="V36" s="5" t="n">
        <v>675.84</v>
      </c>
      <c r="W36" s="5" t="n">
        <v>22961.93</v>
      </c>
      <c r="X36" s="6" t="n">
        <v>0.72984</v>
      </c>
      <c r="Y36" s="5" t="n">
        <v>1072.27</v>
      </c>
      <c r="Z36" s="5"/>
      <c r="AA36" s="5" t="n">
        <v>7427.41</v>
      </c>
      <c r="AB36" s="6" t="n">
        <v>0.236079</v>
      </c>
      <c r="AC36" s="5" t="n">
        <v>1359.58</v>
      </c>
      <c r="AD36" s="5" t="n">
        <v>430.62</v>
      </c>
      <c r="AE36" s="5" t="n">
        <v>37.93</v>
      </c>
      <c r="AF36" s="5" t="n">
        <v>610.69</v>
      </c>
      <c r="AG36" s="5" t="n">
        <v>4988.59</v>
      </c>
      <c r="AH36" s="6" t="n">
        <v>0.158561</v>
      </c>
      <c r="AI36" s="5" t="n">
        <v>3.5094</v>
      </c>
      <c r="AJ36" s="5" t="n">
        <v>33.801</v>
      </c>
      <c r="AK36" s="5" t="n">
        <v>4.989</v>
      </c>
      <c r="AL36" s="5"/>
      <c r="AM36" s="5"/>
      <c r="AN36" s="7" t="str">
        <f aca="false">IF(AND(ISNUMBER(AM36),AM36&lt;&gt;0),AL36/AM36*365,"")</f>
        <v/>
      </c>
    </row>
    <row r="37" customFormat="false" ht="15" hidden="false" customHeight="true" outlineLevel="0" collapsed="false">
      <c r="A37" s="4" t="n">
        <v>34</v>
      </c>
      <c r="B37" s="4" t="s">
        <v>61</v>
      </c>
      <c r="C37" s="4" t="s">
        <v>42</v>
      </c>
      <c r="D37" s="4" t="s">
        <v>54</v>
      </c>
      <c r="E37" s="4" t="s">
        <v>42</v>
      </c>
      <c r="F37" s="4" t="s">
        <v>67</v>
      </c>
      <c r="G37" s="4" t="s">
        <v>59</v>
      </c>
      <c r="H37" s="4" t="s">
        <v>50</v>
      </c>
      <c r="I37" s="4" t="s">
        <v>82</v>
      </c>
      <c r="J37" s="4" t="n">
        <v>1000</v>
      </c>
      <c r="K37" s="5" t="n">
        <v>7664.51</v>
      </c>
      <c r="L37" s="5" t="n">
        <v>58716.49</v>
      </c>
      <c r="M37" s="5" t="n">
        <v>175.21</v>
      </c>
      <c r="N37" s="5" t="n">
        <v>3413.89</v>
      </c>
      <c r="O37" s="5" t="n">
        <v>55127.39</v>
      </c>
      <c r="P37" s="5" t="n">
        <v>7187.7</v>
      </c>
      <c r="Q37" s="5" t="n">
        <v>-2739.61</v>
      </c>
      <c r="R37" s="6" t="n">
        <v>0.080687</v>
      </c>
      <c r="S37" s="5" t="n">
        <v>50679.3</v>
      </c>
      <c r="T37" s="5" t="n">
        <v>28894.13</v>
      </c>
      <c r="U37" s="5" t="n">
        <v>3576.83</v>
      </c>
      <c r="V37" s="5" t="n">
        <v>1121.35</v>
      </c>
      <c r="W37" s="5" t="n">
        <v>33592.31</v>
      </c>
      <c r="X37" s="6" t="n">
        <v>0.662841</v>
      </c>
      <c r="Y37" s="5" t="n">
        <v>2215.81</v>
      </c>
      <c r="Z37" s="5"/>
      <c r="AA37" s="5" t="n">
        <v>14871.18</v>
      </c>
      <c r="AB37" s="6" t="n">
        <v>0.293437</v>
      </c>
      <c r="AC37" s="5" t="n">
        <v>1863.51</v>
      </c>
      <c r="AD37" s="5" t="n">
        <v>1036.47</v>
      </c>
      <c r="AE37" s="5" t="n">
        <v>142.01</v>
      </c>
      <c r="AF37" s="5" t="n">
        <v>731.16</v>
      </c>
      <c r="AG37" s="5" t="n">
        <v>11098.03</v>
      </c>
      <c r="AH37" s="6" t="n">
        <v>0.218985</v>
      </c>
      <c r="AI37" s="5" t="n">
        <v>7.6645</v>
      </c>
      <c r="AJ37" s="5" t="n">
        <v>55.127</v>
      </c>
      <c r="AK37" s="5" t="n">
        <v>11.098</v>
      </c>
      <c r="AL37" s="5" t="n">
        <v>8898.04</v>
      </c>
      <c r="AM37" s="5" t="n">
        <v>36266.18</v>
      </c>
      <c r="AN37" s="7" t="n">
        <f aca="false">IF(AND(ISNUMBER(AM37),AM37&lt;&gt;0),AL37/AM37*365,"")</f>
        <v>89.5540859279913</v>
      </c>
    </row>
    <row r="38" customFormat="false" ht="15" hidden="false" customHeight="true" outlineLevel="0" collapsed="false">
      <c r="A38" s="4" t="n">
        <v>35</v>
      </c>
      <c r="B38" s="4" t="s">
        <v>61</v>
      </c>
      <c r="C38" s="4" t="s">
        <v>66</v>
      </c>
      <c r="D38" s="4" t="s">
        <v>54</v>
      </c>
      <c r="E38" s="4" t="s">
        <v>66</v>
      </c>
      <c r="F38" s="4" t="s">
        <v>67</v>
      </c>
      <c r="G38" s="4" t="s">
        <v>56</v>
      </c>
      <c r="H38" s="4" t="s">
        <v>45</v>
      </c>
      <c r="I38" s="4" t="s">
        <v>57</v>
      </c>
      <c r="J38" s="4" t="n">
        <v>720</v>
      </c>
      <c r="K38" s="5" t="n">
        <v>8027.01</v>
      </c>
      <c r="L38" s="5" t="n">
        <v>63984.67</v>
      </c>
      <c r="M38" s="5" t="n">
        <v>222.43</v>
      </c>
      <c r="N38" s="5" t="n">
        <v>2159.69</v>
      </c>
      <c r="O38" s="5" t="n">
        <v>61602.55</v>
      </c>
      <c r="P38" s="5" t="n">
        <v>6176.74</v>
      </c>
      <c r="Q38" s="5" t="n">
        <v>-1387.61</v>
      </c>
      <c r="R38" s="6" t="n">
        <v>0.077742</v>
      </c>
      <c r="S38" s="5" t="n">
        <v>56813.42</v>
      </c>
      <c r="T38" s="5" t="n">
        <v>36982.58</v>
      </c>
      <c r="U38" s="5" t="n">
        <v>2934.43</v>
      </c>
      <c r="V38" s="5" t="n">
        <v>831.15</v>
      </c>
      <c r="W38" s="5" t="n">
        <v>40748.16</v>
      </c>
      <c r="X38" s="6" t="n">
        <v>0.717228</v>
      </c>
      <c r="Y38" s="5" t="n">
        <v>2341.21</v>
      </c>
      <c r="Z38" s="5"/>
      <c r="AA38" s="5" t="n">
        <v>13724.05</v>
      </c>
      <c r="AB38" s="6" t="n">
        <v>0.241564</v>
      </c>
      <c r="AC38" s="5" t="n">
        <v>2902.58</v>
      </c>
      <c r="AD38" s="5" t="n">
        <v>1084.04</v>
      </c>
      <c r="AE38" s="5" t="n">
        <v>213.02</v>
      </c>
      <c r="AF38" s="5" t="n">
        <v>1093.04</v>
      </c>
      <c r="AG38" s="5" t="n">
        <v>8431.37</v>
      </c>
      <c r="AH38" s="6" t="n">
        <v>0.148405</v>
      </c>
      <c r="AI38" s="5" t="n">
        <v>8.027</v>
      </c>
      <c r="AJ38" s="5" t="n">
        <v>61.603</v>
      </c>
      <c r="AK38" s="5" t="n">
        <v>8.431</v>
      </c>
      <c r="AL38" s="5"/>
      <c r="AM38" s="5"/>
      <c r="AN38" s="7" t="str">
        <f aca="false">IF(AND(ISNUMBER(AM38),AM38&lt;&gt;0),AL38/AM38*365,"")</f>
        <v/>
      </c>
    </row>
    <row r="39" customFormat="false" ht="15" hidden="false" customHeight="true" outlineLevel="0" collapsed="false">
      <c r="A39" s="4" t="n">
        <v>36</v>
      </c>
      <c r="B39" s="4" t="s">
        <v>58</v>
      </c>
      <c r="C39" s="4" t="s">
        <v>79</v>
      </c>
      <c r="D39" s="4" t="s">
        <v>54</v>
      </c>
      <c r="E39" s="4" t="s">
        <v>79</v>
      </c>
      <c r="F39" s="4" t="s">
        <v>67</v>
      </c>
      <c r="G39" s="4" t="s">
        <v>44</v>
      </c>
      <c r="H39" s="4" t="s">
        <v>63</v>
      </c>
      <c r="I39" s="4" t="s">
        <v>83</v>
      </c>
      <c r="J39" s="4" t="n">
        <v>720</v>
      </c>
      <c r="K39" s="5" t="n">
        <v>9971.58</v>
      </c>
      <c r="L39" s="5" t="n">
        <v>76923.06</v>
      </c>
      <c r="M39" s="5" t="n">
        <v>255.27</v>
      </c>
      <c r="N39" s="5" t="n">
        <v>3490.81</v>
      </c>
      <c r="O39" s="5" t="n">
        <v>73176.98</v>
      </c>
      <c r="P39" s="5" t="n">
        <v>12798.34</v>
      </c>
      <c r="Q39" s="5" t="n">
        <v>-2082.64</v>
      </c>
      <c r="R39" s="6" t="n">
        <v>0.146435</v>
      </c>
      <c r="S39" s="5" t="n">
        <v>62461.28</v>
      </c>
      <c r="T39" s="5" t="n">
        <v>37418.29</v>
      </c>
      <c r="U39" s="5" t="n">
        <v>2809.14</v>
      </c>
      <c r="V39" s="5" t="n">
        <v>1484.93</v>
      </c>
      <c r="W39" s="5" t="n">
        <v>41712.36</v>
      </c>
      <c r="X39" s="6" t="n">
        <v>0.667811</v>
      </c>
      <c r="Y39" s="5" t="n">
        <v>2560.41</v>
      </c>
      <c r="Z39" s="5"/>
      <c r="AA39" s="5" t="n">
        <v>18188.51</v>
      </c>
      <c r="AB39" s="6" t="n">
        <v>0.291197</v>
      </c>
      <c r="AC39" s="5" t="n">
        <v>3640.26</v>
      </c>
      <c r="AD39" s="5" t="n">
        <v>1249.82</v>
      </c>
      <c r="AE39" s="5" t="n">
        <v>185.83</v>
      </c>
      <c r="AF39" s="5" t="n">
        <v>674.86</v>
      </c>
      <c r="AG39" s="5" t="n">
        <v>12437.74</v>
      </c>
      <c r="AH39" s="6" t="n">
        <v>0.199127</v>
      </c>
      <c r="AI39" s="5" t="n">
        <v>9.9716</v>
      </c>
      <c r="AJ39" s="5" t="n">
        <v>73.177</v>
      </c>
      <c r="AK39" s="5" t="n">
        <v>12.438</v>
      </c>
      <c r="AL39" s="5" t="n">
        <v>7375.53</v>
      </c>
      <c r="AM39" s="5" t="n">
        <v>45619.13</v>
      </c>
      <c r="AN39" s="7" t="n">
        <f aca="false">IF(AND(ISNUMBER(AM39),AM39&lt;&gt;0),AL39/AM39*365,"")</f>
        <v>59.0118323168373</v>
      </c>
    </row>
    <row r="40" customFormat="false" ht="15" hidden="false" customHeight="true" outlineLevel="0" collapsed="false">
      <c r="A40" s="4" t="n">
        <v>37</v>
      </c>
      <c r="B40" s="4" t="s">
        <v>41</v>
      </c>
      <c r="C40" s="4" t="s">
        <v>79</v>
      </c>
      <c r="D40" s="4" t="s">
        <v>41</v>
      </c>
      <c r="E40" s="4" t="s">
        <v>79</v>
      </c>
      <c r="F40" s="4" t="s">
        <v>43</v>
      </c>
      <c r="G40" s="4" t="s">
        <v>49</v>
      </c>
      <c r="H40" s="4" t="s">
        <v>45</v>
      </c>
      <c r="I40" s="4" t="s">
        <v>73</v>
      </c>
      <c r="J40" s="4" t="n">
        <v>540</v>
      </c>
      <c r="K40" s="5" t="n">
        <v>11554.36</v>
      </c>
      <c r="L40" s="5" t="n">
        <v>115634.6</v>
      </c>
      <c r="M40" s="5" t="n">
        <v>1330.26</v>
      </c>
      <c r="N40" s="5" t="n">
        <v>8966.23</v>
      </c>
      <c r="O40" s="5" t="n">
        <v>105338.11</v>
      </c>
      <c r="P40" s="5" t="n">
        <v>21063.12</v>
      </c>
      <c r="Q40" s="5" t="n">
        <v>-3540.84</v>
      </c>
      <c r="R40" s="6" t="n">
        <v>0.166343</v>
      </c>
      <c r="S40" s="5" t="n">
        <v>87815.83</v>
      </c>
      <c r="T40" s="5" t="n">
        <v>52322.15</v>
      </c>
      <c r="U40" s="5" t="n">
        <v>3653.95</v>
      </c>
      <c r="V40" s="5" t="n">
        <v>2206.41</v>
      </c>
      <c r="W40" s="5" t="n">
        <v>58182.51</v>
      </c>
      <c r="X40" s="6" t="n">
        <v>0.662552</v>
      </c>
      <c r="Y40" s="5" t="n">
        <v>2995.84</v>
      </c>
      <c r="Z40" s="5"/>
      <c r="AA40" s="5" t="n">
        <v>26637.48</v>
      </c>
      <c r="AB40" s="6" t="n">
        <v>0.303333</v>
      </c>
      <c r="AC40" s="5" t="n">
        <v>4350.86</v>
      </c>
      <c r="AD40" s="5" t="n">
        <v>2487.07</v>
      </c>
      <c r="AE40" s="5" t="n">
        <v>151.57</v>
      </c>
      <c r="AF40" s="5" t="n">
        <v>1392.17</v>
      </c>
      <c r="AG40" s="5" t="n">
        <v>18255.81</v>
      </c>
      <c r="AH40" s="6" t="n">
        <v>0.207887</v>
      </c>
      <c r="AI40" s="5" t="n">
        <v>11.5544</v>
      </c>
      <c r="AJ40" s="5" t="n">
        <v>105.338</v>
      </c>
      <c r="AK40" s="5" t="n">
        <v>18.256</v>
      </c>
      <c r="AL40" s="5" t="n">
        <v>15455.32</v>
      </c>
      <c r="AM40" s="5" t="n">
        <v>57297.76</v>
      </c>
      <c r="AN40" s="7" t="n">
        <f aca="false">IF(AND(ISNUMBER(AM40),AM40&lt;&gt;0),AL40/AM40*365,"")</f>
        <v>98.4539674849418</v>
      </c>
    </row>
    <row r="41" customFormat="false" ht="15" hidden="false" customHeight="true" outlineLevel="0" collapsed="false">
      <c r="A41" s="4" t="n">
        <v>38</v>
      </c>
      <c r="B41" s="4" t="s">
        <v>61</v>
      </c>
      <c r="C41" s="4" t="s">
        <v>42</v>
      </c>
      <c r="D41" s="4" t="s">
        <v>54</v>
      </c>
      <c r="E41" s="4" t="s">
        <v>42</v>
      </c>
      <c r="F41" s="4" t="s">
        <v>48</v>
      </c>
      <c r="G41" s="4" t="s">
        <v>49</v>
      </c>
      <c r="H41" s="4" t="s">
        <v>50</v>
      </c>
      <c r="I41" s="4" t="s">
        <v>84</v>
      </c>
      <c r="J41" s="4" t="n">
        <v>720</v>
      </c>
      <c r="K41" s="5" t="n">
        <v>8140.56</v>
      </c>
      <c r="L41" s="5" t="n">
        <v>82001.48</v>
      </c>
      <c r="M41" s="5" t="n">
        <v>540.89</v>
      </c>
      <c r="N41" s="5" t="n">
        <v>5304.16</v>
      </c>
      <c r="O41" s="5" t="n">
        <v>76156.43</v>
      </c>
      <c r="P41" s="5" t="n">
        <v>9810.61</v>
      </c>
      <c r="Q41" s="5" t="n">
        <v>-3599.13</v>
      </c>
      <c r="R41" s="6" t="n">
        <v>0.081562</v>
      </c>
      <c r="S41" s="5" t="n">
        <v>69944.95</v>
      </c>
      <c r="T41" s="5" t="n">
        <v>48143.54</v>
      </c>
      <c r="U41" s="5" t="n">
        <v>4336.86</v>
      </c>
      <c r="V41" s="5" t="n">
        <v>1335.71</v>
      </c>
      <c r="W41" s="5" t="n">
        <v>53816.11</v>
      </c>
      <c r="X41" s="6" t="n">
        <v>0.769407</v>
      </c>
      <c r="Y41" s="5" t="n">
        <v>2058.87</v>
      </c>
      <c r="Z41" s="5"/>
      <c r="AA41" s="5" t="n">
        <v>14069.97</v>
      </c>
      <c r="AB41" s="6" t="n">
        <v>0.201158</v>
      </c>
      <c r="AC41" s="5" t="n">
        <v>2776.69</v>
      </c>
      <c r="AD41" s="5" t="n">
        <v>2056.64</v>
      </c>
      <c r="AE41" s="5" t="n">
        <v>183.02</v>
      </c>
      <c r="AF41" s="5" t="n">
        <v>1059.38</v>
      </c>
      <c r="AG41" s="5" t="n">
        <v>7994.24</v>
      </c>
      <c r="AH41" s="6" t="n">
        <v>0.114293</v>
      </c>
      <c r="AI41" s="5" t="n">
        <v>8.1406</v>
      </c>
      <c r="AJ41" s="5" t="n">
        <v>76.156</v>
      </c>
      <c r="AK41" s="5" t="n">
        <v>7.994</v>
      </c>
      <c r="AL41" s="5" t="n">
        <v>5668.16</v>
      </c>
      <c r="AM41" s="5" t="n">
        <v>55880.95</v>
      </c>
      <c r="AN41" s="7" t="n">
        <f aca="false">IF(AND(ISNUMBER(AM41),AM41&lt;&gt;0),AL41/AM41*365,"")</f>
        <v>37.0229639975698</v>
      </c>
    </row>
    <row r="42" customFormat="false" ht="15" hidden="false" customHeight="true" outlineLevel="0" collapsed="false">
      <c r="A42" s="4" t="n">
        <v>39</v>
      </c>
      <c r="B42" s="4" t="s">
        <v>41</v>
      </c>
      <c r="C42" s="4" t="s">
        <v>53</v>
      </c>
      <c r="D42" s="4" t="s">
        <v>41</v>
      </c>
      <c r="E42" s="4" t="s">
        <v>53</v>
      </c>
      <c r="F42" s="4" t="s">
        <v>48</v>
      </c>
      <c r="G42" s="4" t="s">
        <v>59</v>
      </c>
      <c r="H42" s="4" t="s">
        <v>45</v>
      </c>
      <c r="I42" s="4" t="s">
        <v>57</v>
      </c>
      <c r="J42" s="4" t="n">
        <v>1000</v>
      </c>
      <c r="K42" s="5" t="n">
        <v>4532.82</v>
      </c>
      <c r="L42" s="5" t="n">
        <v>44282.61</v>
      </c>
      <c r="M42" s="5" t="n">
        <v>553.89</v>
      </c>
      <c r="N42" s="5" t="n">
        <v>3011.2</v>
      </c>
      <c r="O42" s="5" t="n">
        <v>40717.52</v>
      </c>
      <c r="P42" s="5" t="n">
        <v>4900.59</v>
      </c>
      <c r="Q42" s="5" t="n">
        <v>-1118.14</v>
      </c>
      <c r="R42" s="6" t="n">
        <v>0.092895</v>
      </c>
      <c r="S42" s="5" t="n">
        <v>36935.07</v>
      </c>
      <c r="T42" s="5" t="n">
        <v>26139.11</v>
      </c>
      <c r="U42" s="5" t="n">
        <v>2124.68</v>
      </c>
      <c r="V42" s="5" t="n">
        <v>885.15</v>
      </c>
      <c r="W42" s="5" t="n">
        <v>29148.94</v>
      </c>
      <c r="X42" s="6" t="n">
        <v>0.789194</v>
      </c>
      <c r="Y42" s="5" t="n">
        <v>873.25</v>
      </c>
      <c r="Z42" s="5"/>
      <c r="AA42" s="5" t="n">
        <v>6912.88</v>
      </c>
      <c r="AB42" s="6" t="n">
        <v>0.187163</v>
      </c>
      <c r="AC42" s="5" t="n">
        <v>2186.35</v>
      </c>
      <c r="AD42" s="5" t="n">
        <v>819.13</v>
      </c>
      <c r="AE42" s="5" t="n">
        <v>72.29</v>
      </c>
      <c r="AF42" s="5" t="n">
        <v>427.85</v>
      </c>
      <c r="AG42" s="5" t="n">
        <v>3407.26</v>
      </c>
      <c r="AH42" s="6" t="n">
        <v>0.09225</v>
      </c>
      <c r="AI42" s="5" t="n">
        <v>4.5328</v>
      </c>
      <c r="AJ42" s="5" t="n">
        <v>40.718</v>
      </c>
      <c r="AK42" s="5" t="n">
        <v>3.407</v>
      </c>
      <c r="AL42" s="5" t="n">
        <v>8804.41</v>
      </c>
      <c r="AM42" s="5" t="n">
        <v>29523.27</v>
      </c>
      <c r="AN42" s="7" t="n">
        <f aca="false">IF(AND(ISNUMBER(AM42),AM42&lt;&gt;0),AL42/AM42*365,"")</f>
        <v>108.850057937349</v>
      </c>
    </row>
    <row r="43" customFormat="false" ht="15" hidden="false" customHeight="true" outlineLevel="0" collapsed="false">
      <c r="A43" s="4" t="n">
        <v>40</v>
      </c>
      <c r="B43" s="4" t="s">
        <v>41</v>
      </c>
      <c r="C43" s="4" t="s">
        <v>53</v>
      </c>
      <c r="D43" s="4" t="s">
        <v>41</v>
      </c>
      <c r="E43" s="4" t="s">
        <v>53</v>
      </c>
      <c r="F43" s="4" t="s">
        <v>48</v>
      </c>
      <c r="G43" s="4" t="s">
        <v>56</v>
      </c>
      <c r="H43" s="4" t="s">
        <v>45</v>
      </c>
      <c r="I43" s="4" t="s">
        <v>73</v>
      </c>
      <c r="J43" s="4" t="n">
        <v>800</v>
      </c>
      <c r="K43" s="5" t="n">
        <v>11380.61</v>
      </c>
      <c r="L43" s="5" t="n">
        <v>107468.57</v>
      </c>
      <c r="M43" s="5" t="n">
        <v>330.94</v>
      </c>
      <c r="N43" s="5" t="n">
        <v>8235.6</v>
      </c>
      <c r="O43" s="5" t="n">
        <v>98902.03</v>
      </c>
      <c r="P43" s="5" t="n">
        <v>12776.77</v>
      </c>
      <c r="Q43" s="5" t="n">
        <v>-3488.33</v>
      </c>
      <c r="R43" s="6" t="n">
        <v>0.093916</v>
      </c>
      <c r="S43" s="5" t="n">
        <v>89613.59</v>
      </c>
      <c r="T43" s="5" t="n">
        <v>55617.18</v>
      </c>
      <c r="U43" s="5" t="n">
        <v>5314.08</v>
      </c>
      <c r="V43" s="5" t="n">
        <v>1742.48</v>
      </c>
      <c r="W43" s="5" t="n">
        <v>62673.74</v>
      </c>
      <c r="X43" s="6" t="n">
        <v>0.699378</v>
      </c>
      <c r="Y43" s="5" t="n">
        <v>3020.3</v>
      </c>
      <c r="Z43" s="5"/>
      <c r="AA43" s="5" t="n">
        <v>23919.55</v>
      </c>
      <c r="AB43" s="6" t="n">
        <v>0.266919</v>
      </c>
      <c r="AC43" s="5" t="n">
        <v>3077.26</v>
      </c>
      <c r="AD43" s="5" t="n">
        <v>1237.76</v>
      </c>
      <c r="AE43" s="5" t="n">
        <v>304.46</v>
      </c>
      <c r="AF43" s="5" t="n">
        <v>1564.92</v>
      </c>
      <c r="AG43" s="5" t="n">
        <v>17735.15</v>
      </c>
      <c r="AH43" s="6" t="n">
        <v>0.197907</v>
      </c>
      <c r="AI43" s="5" t="n">
        <v>11.3806</v>
      </c>
      <c r="AJ43" s="5" t="n">
        <v>98.902</v>
      </c>
      <c r="AK43" s="5" t="n">
        <v>17.735</v>
      </c>
      <c r="AL43" s="5" t="n">
        <v>19208.96</v>
      </c>
      <c r="AM43" s="5" t="n">
        <v>68500.18</v>
      </c>
      <c r="AN43" s="7" t="n">
        <f aca="false">IF(AND(ISNUMBER(AM43),AM43&lt;&gt;0),AL43/AM43*365,"")</f>
        <v>102.354043449229</v>
      </c>
    </row>
    <row r="44" customFormat="false" ht="15" hidden="false" customHeight="true" outlineLevel="0" collapsed="false">
      <c r="A44" s="4" t="n">
        <v>41</v>
      </c>
      <c r="B44" s="4" t="s">
        <v>58</v>
      </c>
      <c r="C44" s="4" t="s">
        <v>42</v>
      </c>
      <c r="D44" s="4" t="s">
        <v>54</v>
      </c>
      <c r="E44" s="4" t="s">
        <v>42</v>
      </c>
      <c r="F44" s="4" t="s">
        <v>43</v>
      </c>
      <c r="G44" s="4" t="s">
        <v>59</v>
      </c>
      <c r="H44" s="4" t="s">
        <v>50</v>
      </c>
      <c r="I44" s="4" t="s">
        <v>60</v>
      </c>
      <c r="J44" s="4" t="n">
        <v>720</v>
      </c>
      <c r="K44" s="5" t="n">
        <v>9900.43</v>
      </c>
      <c r="L44" s="5" t="n">
        <v>82653.91</v>
      </c>
      <c r="M44" s="5" t="n">
        <v>493.54</v>
      </c>
      <c r="N44" s="5" t="n">
        <v>4905.25</v>
      </c>
      <c r="O44" s="5" t="n">
        <v>77255.12</v>
      </c>
      <c r="P44" s="5" t="n">
        <v>15442.54</v>
      </c>
      <c r="Q44" s="5" t="n">
        <v>-1891.36</v>
      </c>
      <c r="R44" s="6" t="n">
        <v>0.175408</v>
      </c>
      <c r="S44" s="5" t="n">
        <v>63703.94</v>
      </c>
      <c r="T44" s="5" t="n">
        <v>36646.41</v>
      </c>
      <c r="U44" s="5" t="n">
        <v>3920.55</v>
      </c>
      <c r="V44" s="5" t="n">
        <v>1076.75</v>
      </c>
      <c r="W44" s="5" t="n">
        <v>41643.71</v>
      </c>
      <c r="X44" s="6" t="n">
        <v>0.653707</v>
      </c>
      <c r="Y44" s="5" t="n">
        <v>2328.86</v>
      </c>
      <c r="Z44" s="5"/>
      <c r="AA44" s="5" t="n">
        <v>19731.37</v>
      </c>
      <c r="AB44" s="6" t="n">
        <v>0.309735</v>
      </c>
      <c r="AC44" s="5" t="n">
        <v>2949.68</v>
      </c>
      <c r="AD44" s="5" t="n">
        <v>1217.18</v>
      </c>
      <c r="AE44" s="5" t="n">
        <v>145.7</v>
      </c>
      <c r="AF44" s="5" t="n">
        <v>757.22</v>
      </c>
      <c r="AG44" s="5" t="n">
        <v>14661.59</v>
      </c>
      <c r="AH44" s="6" t="n">
        <v>0.230152</v>
      </c>
      <c r="AI44" s="5" t="n">
        <v>9.9004</v>
      </c>
      <c r="AJ44" s="5" t="n">
        <v>77.255</v>
      </c>
      <c r="AK44" s="5" t="n">
        <v>14.662</v>
      </c>
      <c r="AL44" s="5" t="n">
        <v>5162.45</v>
      </c>
      <c r="AM44" s="5" t="n">
        <v>43419.35</v>
      </c>
      <c r="AN44" s="7" t="n">
        <f aca="false">IF(AND(ISNUMBER(AM44),AM44&lt;&gt;0),AL44/AM44*365,"")</f>
        <v>43.3975692865048</v>
      </c>
    </row>
    <row r="45" customFormat="false" ht="15" hidden="false" customHeight="true" outlineLevel="0" collapsed="false">
      <c r="A45" s="4" t="n">
        <v>42</v>
      </c>
      <c r="B45" s="4" t="s">
        <v>58</v>
      </c>
      <c r="C45" s="4" t="s">
        <v>53</v>
      </c>
      <c r="D45" s="4" t="s">
        <v>54</v>
      </c>
      <c r="E45" s="4" t="s">
        <v>53</v>
      </c>
      <c r="F45" s="4" t="s">
        <v>48</v>
      </c>
      <c r="G45" s="4" t="s">
        <v>44</v>
      </c>
      <c r="H45" s="4" t="s">
        <v>50</v>
      </c>
      <c r="I45" s="4" t="s">
        <v>85</v>
      </c>
      <c r="J45" s="4" t="n">
        <v>720</v>
      </c>
      <c r="K45" s="5" t="n">
        <v>9013.05</v>
      </c>
      <c r="L45" s="5" t="n">
        <v>86666.64</v>
      </c>
      <c r="M45" s="5" t="n">
        <v>1406.44</v>
      </c>
      <c r="N45" s="5" t="n">
        <v>4273.01</v>
      </c>
      <c r="O45" s="5" t="n">
        <v>80987.19</v>
      </c>
      <c r="P45" s="5" t="n">
        <v>13473.75</v>
      </c>
      <c r="Q45" s="5" t="n">
        <v>-3323.5</v>
      </c>
      <c r="R45" s="6" t="n">
        <v>0.125332</v>
      </c>
      <c r="S45" s="5" t="n">
        <v>70836.94</v>
      </c>
      <c r="T45" s="5" t="n">
        <v>50771.6</v>
      </c>
      <c r="U45" s="5" t="n">
        <v>4236.98</v>
      </c>
      <c r="V45" s="5" t="n">
        <v>760.82</v>
      </c>
      <c r="W45" s="5" t="n">
        <v>55769.4</v>
      </c>
      <c r="X45" s="6" t="n">
        <v>0.787293</v>
      </c>
      <c r="Y45" s="5" t="n">
        <v>2484.16</v>
      </c>
      <c r="Z45" s="5"/>
      <c r="AA45" s="5" t="n">
        <v>12583.38</v>
      </c>
      <c r="AB45" s="6" t="n">
        <v>0.177639</v>
      </c>
      <c r="AC45" s="5" t="n">
        <v>3379.31</v>
      </c>
      <c r="AD45" s="5" t="n">
        <v>1940.51</v>
      </c>
      <c r="AE45" s="5" t="n">
        <v>318.54</v>
      </c>
      <c r="AF45" s="5" t="n">
        <v>1020.27</v>
      </c>
      <c r="AG45" s="5" t="n">
        <v>5924.75</v>
      </c>
      <c r="AH45" s="6" t="n">
        <v>0.083639</v>
      </c>
      <c r="AI45" s="5" t="n">
        <v>9.013</v>
      </c>
      <c r="AJ45" s="5" t="n">
        <v>80.987</v>
      </c>
      <c r="AK45" s="5" t="n">
        <v>5.925</v>
      </c>
      <c r="AL45" s="5" t="n">
        <v>24570.21</v>
      </c>
      <c r="AM45" s="5" t="n">
        <v>60505.89</v>
      </c>
      <c r="AN45" s="7" t="n">
        <f aca="false">IF(AND(ISNUMBER(AM45),AM45&lt;&gt;0),AL45/AM45*365,"")</f>
        <v>148.219068424578</v>
      </c>
    </row>
    <row r="46" customFormat="false" ht="15" hidden="false" customHeight="true" outlineLevel="0" collapsed="false">
      <c r="A46" s="4" t="n">
        <v>43</v>
      </c>
      <c r="B46" s="4" t="s">
        <v>61</v>
      </c>
      <c r="C46" s="4" t="s">
        <v>42</v>
      </c>
      <c r="D46" s="4" t="s">
        <v>54</v>
      </c>
      <c r="E46" s="4" t="s">
        <v>42</v>
      </c>
      <c r="F46" s="4" t="s">
        <v>55</v>
      </c>
      <c r="G46" s="4" t="s">
        <v>59</v>
      </c>
      <c r="H46" s="4" t="s">
        <v>63</v>
      </c>
      <c r="I46" s="4" t="s">
        <v>83</v>
      </c>
      <c r="J46" s="4" t="n">
        <v>400</v>
      </c>
      <c r="K46" s="5" t="n">
        <v>5793.04</v>
      </c>
      <c r="L46" s="5" t="n">
        <v>60291.71</v>
      </c>
      <c r="M46" s="5" t="n">
        <v>408.25</v>
      </c>
      <c r="N46" s="5" t="n">
        <v>3896.97</v>
      </c>
      <c r="O46" s="5" t="n">
        <v>55986.49</v>
      </c>
      <c r="P46" s="5" t="n">
        <v>9236.86</v>
      </c>
      <c r="Q46" s="5" t="n">
        <v>-2384.37</v>
      </c>
      <c r="R46" s="6" t="n">
        <v>0.122395</v>
      </c>
      <c r="S46" s="5" t="n">
        <v>49134</v>
      </c>
      <c r="T46" s="5" t="n">
        <v>34143.12</v>
      </c>
      <c r="U46" s="5" t="n">
        <v>3654.28</v>
      </c>
      <c r="V46" s="5" t="n">
        <v>864.77</v>
      </c>
      <c r="W46" s="5" t="n">
        <v>38662.17</v>
      </c>
      <c r="X46" s="6" t="n">
        <v>0.786872</v>
      </c>
      <c r="Y46" s="5" t="n">
        <v>1449.44</v>
      </c>
      <c r="Z46" s="5"/>
      <c r="AA46" s="5" t="n">
        <v>9022.39</v>
      </c>
      <c r="AB46" s="6" t="n">
        <v>0.183628</v>
      </c>
      <c r="AC46" s="5" t="n">
        <v>2533.42</v>
      </c>
      <c r="AD46" s="5" t="n">
        <v>1237.59</v>
      </c>
      <c r="AE46" s="5" t="n">
        <v>220.59</v>
      </c>
      <c r="AF46" s="5" t="n">
        <v>508.98</v>
      </c>
      <c r="AG46" s="5" t="n">
        <v>4521.81</v>
      </c>
      <c r="AH46" s="6" t="n">
        <v>0.09203</v>
      </c>
      <c r="AI46" s="5" t="n">
        <v>5.793</v>
      </c>
      <c r="AJ46" s="5" t="n">
        <v>55.986</v>
      </c>
      <c r="AK46" s="5" t="n">
        <v>4.522</v>
      </c>
      <c r="AL46" s="5" t="n">
        <v>9910.7</v>
      </c>
      <c r="AM46" s="5" t="n">
        <v>41356.19</v>
      </c>
      <c r="AN46" s="7" t="n">
        <f aca="false">IF(AND(ISNUMBER(AM46),AM46&lt;&gt;0),AL46/AM46*365,"")</f>
        <v>87.4695057741054</v>
      </c>
    </row>
    <row r="47" customFormat="false" ht="15" hidden="false" customHeight="true" outlineLevel="0" collapsed="false">
      <c r="A47" s="4" t="n">
        <v>44</v>
      </c>
      <c r="B47" s="4" t="s">
        <v>41</v>
      </c>
      <c r="C47" s="4" t="s">
        <v>47</v>
      </c>
      <c r="D47" s="4" t="s">
        <v>41</v>
      </c>
      <c r="E47" s="4" t="s">
        <v>47</v>
      </c>
      <c r="F47" s="4" t="s">
        <v>43</v>
      </c>
      <c r="G47" s="4" t="s">
        <v>44</v>
      </c>
      <c r="H47" s="4" t="s">
        <v>63</v>
      </c>
      <c r="I47" s="4" t="s">
        <v>86</v>
      </c>
      <c r="J47" s="4" t="n">
        <v>800</v>
      </c>
      <c r="K47" s="5" t="n">
        <v>11746.55</v>
      </c>
      <c r="L47" s="5" t="n">
        <v>114894.29</v>
      </c>
      <c r="M47" s="5" t="n">
        <v>1617.46</v>
      </c>
      <c r="N47" s="5" t="n">
        <v>4024.21</v>
      </c>
      <c r="O47" s="5" t="n">
        <v>109252.62</v>
      </c>
      <c r="P47" s="5" t="n">
        <v>12742.84</v>
      </c>
      <c r="Q47" s="5" t="n">
        <v>-1635.87</v>
      </c>
      <c r="R47" s="6" t="n">
        <v>0.101663</v>
      </c>
      <c r="S47" s="5" t="n">
        <v>98145.65</v>
      </c>
      <c r="T47" s="5" t="n">
        <v>54463.09</v>
      </c>
      <c r="U47" s="5" t="n">
        <v>5199.26</v>
      </c>
      <c r="V47" s="5" t="n">
        <v>1091.61</v>
      </c>
      <c r="W47" s="5" t="n">
        <v>60753.96</v>
      </c>
      <c r="X47" s="6" t="n">
        <v>0.619018</v>
      </c>
      <c r="Y47" s="5" t="n">
        <v>3018.36</v>
      </c>
      <c r="Z47" s="5"/>
      <c r="AA47" s="5" t="n">
        <v>34373.33</v>
      </c>
      <c r="AB47" s="6" t="n">
        <v>0.350228</v>
      </c>
      <c r="AC47" s="5" t="n">
        <v>4212.47</v>
      </c>
      <c r="AD47" s="5" t="n">
        <v>1460.79</v>
      </c>
      <c r="AE47" s="5" t="n">
        <v>259.91</v>
      </c>
      <c r="AF47" s="5" t="n">
        <v>1650.61</v>
      </c>
      <c r="AG47" s="5" t="n">
        <v>26789.55</v>
      </c>
      <c r="AH47" s="6" t="n">
        <v>0.272957</v>
      </c>
      <c r="AI47" s="5" t="n">
        <v>11.7465</v>
      </c>
      <c r="AJ47" s="5" t="n">
        <v>109.253</v>
      </c>
      <c r="AK47" s="5" t="n">
        <v>26.79</v>
      </c>
      <c r="AL47" s="5" t="n">
        <v>7143.99</v>
      </c>
      <c r="AM47" s="5" t="n">
        <v>58659.81</v>
      </c>
      <c r="AN47" s="7" t="n">
        <f aca="false">IF(AND(ISNUMBER(AM47),AM47&lt;&gt;0),AL47/AM47*365,"")</f>
        <v>44.4521785870087</v>
      </c>
    </row>
    <row r="48" customFormat="false" ht="15" hidden="false" customHeight="true" outlineLevel="0" collapsed="false">
      <c r="A48" s="4" t="n">
        <v>45</v>
      </c>
      <c r="B48" s="4" t="s">
        <v>58</v>
      </c>
      <c r="C48" s="4" t="s">
        <v>47</v>
      </c>
      <c r="D48" s="4" t="s">
        <v>54</v>
      </c>
      <c r="E48" s="4" t="s">
        <v>47</v>
      </c>
      <c r="F48" s="4" t="s">
        <v>55</v>
      </c>
      <c r="G48" s="4" t="s">
        <v>56</v>
      </c>
      <c r="H48" s="4" t="s">
        <v>63</v>
      </c>
      <c r="I48" s="4" t="s">
        <v>69</v>
      </c>
      <c r="J48" s="4" t="n">
        <v>1000</v>
      </c>
      <c r="K48" s="5" t="n">
        <v>8292.67</v>
      </c>
      <c r="L48" s="5" t="n">
        <v>74576</v>
      </c>
      <c r="M48" s="5" t="n">
        <v>869.79</v>
      </c>
      <c r="N48" s="5" t="n">
        <v>3103.06</v>
      </c>
      <c r="O48" s="5" t="n">
        <v>70603.15</v>
      </c>
      <c r="P48" s="5" t="n">
        <v>11564.12</v>
      </c>
      <c r="Q48" s="5" t="n">
        <v>-1622.36</v>
      </c>
      <c r="R48" s="6" t="n">
        <v>0.140812</v>
      </c>
      <c r="S48" s="5" t="n">
        <v>60661.39</v>
      </c>
      <c r="T48" s="5" t="n">
        <v>40240.52</v>
      </c>
      <c r="U48" s="5" t="n">
        <v>4607.62</v>
      </c>
      <c r="V48" s="5" t="n">
        <v>1171.07</v>
      </c>
      <c r="W48" s="5" t="n">
        <v>46019.21</v>
      </c>
      <c r="X48" s="6" t="n">
        <v>0.758624</v>
      </c>
      <c r="Y48" s="5" t="n">
        <v>1736.67</v>
      </c>
      <c r="Z48" s="5"/>
      <c r="AA48" s="5" t="n">
        <v>12905.51</v>
      </c>
      <c r="AB48" s="6" t="n">
        <v>0.212747</v>
      </c>
      <c r="AC48" s="5" t="n">
        <v>2814.56</v>
      </c>
      <c r="AD48" s="5" t="n">
        <v>696.23</v>
      </c>
      <c r="AE48" s="5" t="n">
        <v>290.02</v>
      </c>
      <c r="AF48" s="5" t="n">
        <v>1205.74</v>
      </c>
      <c r="AG48" s="5" t="n">
        <v>7898.96</v>
      </c>
      <c r="AH48" s="6" t="n">
        <v>0.130214</v>
      </c>
      <c r="AI48" s="5" t="n">
        <v>8.2927</v>
      </c>
      <c r="AJ48" s="5" t="n">
        <v>70.603</v>
      </c>
      <c r="AK48" s="5" t="n">
        <v>7.899</v>
      </c>
      <c r="AL48" s="5" t="n">
        <v>6928.19</v>
      </c>
      <c r="AM48" s="5" t="n">
        <v>44183.14</v>
      </c>
      <c r="AN48" s="7" t="n">
        <f aca="false">IF(AND(ISNUMBER(AM48),AM48&lt;&gt;0),AL48/AM48*365,"")</f>
        <v>57.2342606252068</v>
      </c>
    </row>
    <row r="49" customFormat="false" ht="15" hidden="false" customHeight="true" outlineLevel="0" collapsed="false">
      <c r="A49" s="4" t="n">
        <v>46</v>
      </c>
      <c r="B49" s="4" t="s">
        <v>52</v>
      </c>
      <c r="C49" s="4" t="s">
        <v>79</v>
      </c>
      <c r="D49" s="4" t="s">
        <v>54</v>
      </c>
      <c r="E49" s="4" t="s">
        <v>79</v>
      </c>
      <c r="F49" s="4" t="s">
        <v>43</v>
      </c>
      <c r="G49" s="4" t="s">
        <v>59</v>
      </c>
      <c r="H49" s="4" t="s">
        <v>50</v>
      </c>
      <c r="I49" s="4" t="s">
        <v>87</v>
      </c>
      <c r="J49" s="4" t="n">
        <v>800</v>
      </c>
      <c r="K49" s="5" t="n">
        <v>10284.02</v>
      </c>
      <c r="L49" s="5" t="n">
        <v>80420.62</v>
      </c>
      <c r="M49" s="5" t="n">
        <v>613.39</v>
      </c>
      <c r="N49" s="5" t="n">
        <v>3856</v>
      </c>
      <c r="O49" s="5" t="n">
        <v>75951.23</v>
      </c>
      <c r="P49" s="5" t="n">
        <v>9842.31</v>
      </c>
      <c r="Q49" s="5" t="n">
        <v>-2655.56</v>
      </c>
      <c r="R49" s="6" t="n">
        <v>0.094623</v>
      </c>
      <c r="S49" s="5" t="n">
        <v>68764.48</v>
      </c>
      <c r="T49" s="5" t="n">
        <v>38076.94</v>
      </c>
      <c r="U49" s="5" t="n">
        <v>5033.66</v>
      </c>
      <c r="V49" s="5" t="n">
        <v>1231.99</v>
      </c>
      <c r="W49" s="5" t="n">
        <v>44342.59</v>
      </c>
      <c r="X49" s="6" t="n">
        <v>0.644847</v>
      </c>
      <c r="Y49" s="5" t="n">
        <v>1392</v>
      </c>
      <c r="Z49" s="5"/>
      <c r="AA49" s="5" t="n">
        <v>23029.89</v>
      </c>
      <c r="AB49" s="6" t="n">
        <v>0.33491</v>
      </c>
      <c r="AC49" s="5" t="n">
        <v>3847.51</v>
      </c>
      <c r="AD49" s="5" t="n">
        <v>1758.05</v>
      </c>
      <c r="AE49" s="5" t="n">
        <v>336.56</v>
      </c>
      <c r="AF49" s="5" t="n">
        <v>1313.83</v>
      </c>
      <c r="AG49" s="5" t="n">
        <v>15773.94</v>
      </c>
      <c r="AH49" s="6" t="n">
        <v>0.229391</v>
      </c>
      <c r="AI49" s="5" t="n">
        <v>10.284</v>
      </c>
      <c r="AJ49" s="5" t="n">
        <v>75.951</v>
      </c>
      <c r="AK49" s="5" t="n">
        <v>15.774</v>
      </c>
      <c r="AL49" s="5" t="n">
        <v>4442.35</v>
      </c>
      <c r="AM49" s="5" t="n">
        <v>44387.29</v>
      </c>
      <c r="AN49" s="7" t="n">
        <f aca="false">IF(AND(ISNUMBER(AM49),AM49&lt;&gt;0),AL49/AM49*365,"")</f>
        <v>36.5297757533744</v>
      </c>
    </row>
    <row r="50" customFormat="false" ht="15" hidden="false" customHeight="true" outlineLevel="0" collapsed="false">
      <c r="A50" s="4" t="n">
        <v>47</v>
      </c>
      <c r="B50" s="4" t="s">
        <v>61</v>
      </c>
      <c r="C50" s="4" t="s">
        <v>66</v>
      </c>
      <c r="D50" s="4" t="s">
        <v>54</v>
      </c>
      <c r="E50" s="4" t="s">
        <v>66</v>
      </c>
      <c r="F50" s="4" t="s">
        <v>55</v>
      </c>
      <c r="G50" s="4" t="s">
        <v>49</v>
      </c>
      <c r="H50" s="4" t="s">
        <v>45</v>
      </c>
      <c r="I50" s="4" t="s">
        <v>57</v>
      </c>
      <c r="J50" s="4" t="n">
        <v>1000</v>
      </c>
      <c r="K50" s="5" t="n">
        <v>3232.33</v>
      </c>
      <c r="L50" s="5" t="n">
        <v>31569.3</v>
      </c>
      <c r="M50" s="5" t="n">
        <v>484.57</v>
      </c>
      <c r="N50" s="5" t="n">
        <v>2021.78</v>
      </c>
      <c r="O50" s="5" t="n">
        <v>29062.95</v>
      </c>
      <c r="P50" s="5" t="n">
        <v>3303.82</v>
      </c>
      <c r="Q50" s="5" t="n">
        <v>-141.19</v>
      </c>
      <c r="R50" s="6" t="n">
        <v>0.10882</v>
      </c>
      <c r="S50" s="5" t="n">
        <v>25900.32</v>
      </c>
      <c r="T50" s="5" t="n">
        <v>17007.91</v>
      </c>
      <c r="U50" s="5" t="n">
        <v>1076.86</v>
      </c>
      <c r="V50" s="5" t="n">
        <v>667.51</v>
      </c>
      <c r="W50" s="5" t="n">
        <v>18752.28</v>
      </c>
      <c r="X50" s="6" t="n">
        <v>0.724017</v>
      </c>
      <c r="Y50" s="5" t="n">
        <v>543.93</v>
      </c>
      <c r="Z50" s="5"/>
      <c r="AA50" s="5" t="n">
        <v>6604.11</v>
      </c>
      <c r="AB50" s="6" t="n">
        <v>0.254982</v>
      </c>
      <c r="AC50" s="5" t="n">
        <v>1060.51</v>
      </c>
      <c r="AD50" s="5" t="n">
        <v>327.08</v>
      </c>
      <c r="AE50" s="5" t="n">
        <v>120.14</v>
      </c>
      <c r="AF50" s="5" t="n">
        <v>343.62</v>
      </c>
      <c r="AG50" s="5" t="n">
        <v>4752.76</v>
      </c>
      <c r="AH50" s="6" t="n">
        <v>0.183502</v>
      </c>
      <c r="AI50" s="5" t="n">
        <v>3.2323</v>
      </c>
      <c r="AJ50" s="5" t="n">
        <v>29.063</v>
      </c>
      <c r="AK50" s="5" t="n">
        <v>4.753</v>
      </c>
      <c r="AL50" s="5" t="n">
        <v>4145.32</v>
      </c>
      <c r="AM50" s="5" t="n">
        <v>18240.15</v>
      </c>
      <c r="AN50" s="7" t="n">
        <f aca="false">IF(AND(ISNUMBER(AM50),AM50&lt;&gt;0),AL50/AM50*365,"")</f>
        <v>82.951170905941</v>
      </c>
    </row>
    <row r="51" customFormat="false" ht="15" hidden="false" customHeight="true" outlineLevel="0" collapsed="false">
      <c r="A51" s="4" t="n">
        <v>48</v>
      </c>
      <c r="B51" s="4" t="s">
        <v>61</v>
      </c>
      <c r="C51" s="4" t="s">
        <v>47</v>
      </c>
      <c r="D51" s="4" t="s">
        <v>54</v>
      </c>
      <c r="E51" s="4" t="s">
        <v>47</v>
      </c>
      <c r="F51" s="4" t="s">
        <v>55</v>
      </c>
      <c r="G51" s="4" t="s">
        <v>44</v>
      </c>
      <c r="H51" s="4" t="s">
        <v>63</v>
      </c>
      <c r="I51" s="4" t="s">
        <v>74</v>
      </c>
      <c r="J51" s="4" t="n">
        <v>1000</v>
      </c>
      <c r="K51" s="5" t="n">
        <v>6171</v>
      </c>
      <c r="L51" s="5" t="n">
        <v>51327.8</v>
      </c>
      <c r="M51" s="5" t="n">
        <v>168.91</v>
      </c>
      <c r="N51" s="5" t="n">
        <v>3885.64</v>
      </c>
      <c r="O51" s="5" t="n">
        <v>47273.25</v>
      </c>
      <c r="P51" s="5" t="n">
        <v>9190.81</v>
      </c>
      <c r="Q51" s="5" t="n">
        <v>-2286.57</v>
      </c>
      <c r="R51" s="6" t="n">
        <v>0.14605</v>
      </c>
      <c r="S51" s="5" t="n">
        <v>40369.01</v>
      </c>
      <c r="T51" s="5" t="n">
        <v>24228.43</v>
      </c>
      <c r="U51" s="5" t="n">
        <v>3020.24</v>
      </c>
      <c r="V51" s="5" t="n">
        <v>1053.01</v>
      </c>
      <c r="W51" s="5" t="n">
        <v>28301.68</v>
      </c>
      <c r="X51" s="6" t="n">
        <v>0.701074</v>
      </c>
      <c r="Y51" s="5" t="n">
        <v>1374.56</v>
      </c>
      <c r="Z51" s="5"/>
      <c r="AA51" s="5" t="n">
        <v>10692.77</v>
      </c>
      <c r="AB51" s="6" t="n">
        <v>0.264876</v>
      </c>
      <c r="AC51" s="5" t="n">
        <v>1302.26</v>
      </c>
      <c r="AD51" s="5" t="n">
        <v>1012.58</v>
      </c>
      <c r="AE51" s="5" t="n">
        <v>76.8</v>
      </c>
      <c r="AF51" s="5" t="n">
        <v>676.72</v>
      </c>
      <c r="AG51" s="5" t="n">
        <v>7624.41</v>
      </c>
      <c r="AH51" s="6" t="n">
        <v>0.188868</v>
      </c>
      <c r="AI51" s="5" t="n">
        <v>6.171</v>
      </c>
      <c r="AJ51" s="5" t="n">
        <v>47.273</v>
      </c>
      <c r="AK51" s="5" t="n">
        <v>7.624</v>
      </c>
      <c r="AL51" s="5"/>
      <c r="AM51" s="5"/>
      <c r="AN51" s="7" t="str">
        <f aca="false">IF(AND(ISNUMBER(AM51),AM51&lt;&gt;0),AL51/AM51*365,"")</f>
        <v/>
      </c>
    </row>
    <row r="52" customFormat="false" ht="15" hidden="false" customHeight="true" outlineLevel="0" collapsed="false">
      <c r="A52" s="4" t="n">
        <v>49</v>
      </c>
      <c r="B52" s="4" t="s">
        <v>61</v>
      </c>
      <c r="C52" s="4" t="s">
        <v>53</v>
      </c>
      <c r="D52" s="4" t="s">
        <v>54</v>
      </c>
      <c r="E52" s="4" t="s">
        <v>53</v>
      </c>
      <c r="F52" s="4" t="s">
        <v>43</v>
      </c>
      <c r="G52" s="4" t="s">
        <v>56</v>
      </c>
      <c r="H52" s="4" t="s">
        <v>50</v>
      </c>
      <c r="I52" s="4" t="s">
        <v>85</v>
      </c>
      <c r="J52" s="4" t="n">
        <v>720</v>
      </c>
      <c r="K52" s="5" t="n">
        <v>6577.9</v>
      </c>
      <c r="L52" s="5" t="n">
        <v>58308.86</v>
      </c>
      <c r="M52" s="5" t="n">
        <v>784.64</v>
      </c>
      <c r="N52" s="5" t="n">
        <v>3709.44</v>
      </c>
      <c r="O52" s="5" t="n">
        <v>53814.78</v>
      </c>
      <c r="P52" s="5" t="n">
        <v>8527.28</v>
      </c>
      <c r="Q52" s="5" t="n">
        <v>-2212.91</v>
      </c>
      <c r="R52" s="6" t="n">
        <v>0.117335</v>
      </c>
      <c r="S52" s="5" t="n">
        <v>47500.41</v>
      </c>
      <c r="T52" s="5" t="n">
        <v>33718.15</v>
      </c>
      <c r="U52" s="5" t="n">
        <v>2105.88</v>
      </c>
      <c r="V52" s="5" t="n">
        <v>697.14</v>
      </c>
      <c r="W52" s="5" t="n">
        <v>36521.17</v>
      </c>
      <c r="X52" s="6" t="n">
        <v>0.76886</v>
      </c>
      <c r="Y52" s="5" t="n">
        <v>985.67</v>
      </c>
      <c r="Z52" s="5"/>
      <c r="AA52" s="5" t="n">
        <v>9993.57</v>
      </c>
      <c r="AB52" s="6" t="n">
        <v>0.210389</v>
      </c>
      <c r="AC52" s="5" t="n">
        <v>2685.06</v>
      </c>
      <c r="AD52" s="5" t="n">
        <v>1008.35</v>
      </c>
      <c r="AE52" s="5" t="n">
        <v>221.4</v>
      </c>
      <c r="AF52" s="5" t="n">
        <v>580.15</v>
      </c>
      <c r="AG52" s="5" t="n">
        <v>5498.61</v>
      </c>
      <c r="AH52" s="6" t="n">
        <v>0.115759</v>
      </c>
      <c r="AI52" s="5" t="n">
        <v>6.5779</v>
      </c>
      <c r="AJ52" s="5" t="n">
        <v>53.815</v>
      </c>
      <c r="AK52" s="5" t="n">
        <v>5.499</v>
      </c>
      <c r="AL52" s="5" t="n">
        <v>7166.15</v>
      </c>
      <c r="AM52" s="5" t="n">
        <v>38059.09</v>
      </c>
      <c r="AN52" s="7" t="n">
        <f aca="false">IF(AND(ISNUMBER(AM52),AM52&lt;&gt;0),AL52/AM52*365,"")</f>
        <v>68.725887823382</v>
      </c>
    </row>
    <row r="53" customFormat="false" ht="15" hidden="false" customHeight="true" outlineLevel="0" collapsed="false">
      <c r="A53" s="4" t="n">
        <v>50</v>
      </c>
      <c r="B53" s="4" t="s">
        <v>41</v>
      </c>
      <c r="C53" s="4" t="s">
        <v>79</v>
      </c>
      <c r="D53" s="4" t="s">
        <v>41</v>
      </c>
      <c r="E53" s="4" t="s">
        <v>79</v>
      </c>
      <c r="F53" s="4" t="s">
        <v>43</v>
      </c>
      <c r="G53" s="4" t="s">
        <v>59</v>
      </c>
      <c r="H53" s="4" t="s">
        <v>45</v>
      </c>
      <c r="I53" s="4" t="s">
        <v>46</v>
      </c>
      <c r="J53" s="4" t="n">
        <v>400</v>
      </c>
      <c r="K53" s="5" t="n">
        <v>11371.26</v>
      </c>
      <c r="L53" s="5" t="n">
        <v>95667.48</v>
      </c>
      <c r="M53" s="5" t="n">
        <v>942.56</v>
      </c>
      <c r="N53" s="5" t="n">
        <v>3334.93</v>
      </c>
      <c r="O53" s="5" t="n">
        <v>91389.99</v>
      </c>
      <c r="P53" s="5" t="n">
        <v>17247.66</v>
      </c>
      <c r="Q53" s="5" t="n">
        <v>-619.92</v>
      </c>
      <c r="R53" s="6" t="n">
        <v>0.181943</v>
      </c>
      <c r="S53" s="5" t="n">
        <v>74762.25</v>
      </c>
      <c r="T53" s="5" t="n">
        <v>46884.86</v>
      </c>
      <c r="U53" s="5" t="n">
        <v>4995.57</v>
      </c>
      <c r="V53" s="5" t="n">
        <v>1858.8</v>
      </c>
      <c r="W53" s="5" t="n">
        <v>53739.23</v>
      </c>
      <c r="X53" s="6" t="n">
        <v>0.718802</v>
      </c>
      <c r="Y53" s="5" t="n">
        <v>3616.94</v>
      </c>
      <c r="Z53" s="5"/>
      <c r="AA53" s="5" t="n">
        <v>17406.08</v>
      </c>
      <c r="AB53" s="6" t="n">
        <v>0.232819</v>
      </c>
      <c r="AC53" s="5" t="n">
        <v>3182.91</v>
      </c>
      <c r="AD53" s="5" t="n">
        <v>1857.5</v>
      </c>
      <c r="AE53" s="5" t="n">
        <v>120.97</v>
      </c>
      <c r="AF53" s="5" t="n">
        <v>1057.8</v>
      </c>
      <c r="AG53" s="5" t="n">
        <v>11186.9</v>
      </c>
      <c r="AH53" s="6" t="n">
        <v>0.149633</v>
      </c>
      <c r="AI53" s="5" t="n">
        <v>11.3713</v>
      </c>
      <c r="AJ53" s="5" t="n">
        <v>91.39</v>
      </c>
      <c r="AK53" s="5" t="n">
        <v>11.187</v>
      </c>
      <c r="AL53" s="5" t="n">
        <v>7700.63</v>
      </c>
      <c r="AM53" s="5" t="n">
        <v>53852.54</v>
      </c>
      <c r="AN53" s="7" t="n">
        <f aca="false">IF(AND(ISNUMBER(AM53),AM53&lt;&gt;0),AL53/AM53*365,"")</f>
        <v>52.1930804006645</v>
      </c>
    </row>
    <row r="54" customFormat="false" ht="15" hidden="false" customHeight="true" outlineLevel="0" collapsed="false">
      <c r="A54" s="4" t="n">
        <v>51</v>
      </c>
      <c r="B54" s="4" t="s">
        <v>41</v>
      </c>
      <c r="C54" s="4" t="s">
        <v>79</v>
      </c>
      <c r="D54" s="4" t="s">
        <v>41</v>
      </c>
      <c r="E54" s="4" t="s">
        <v>79</v>
      </c>
      <c r="F54" s="4" t="s">
        <v>48</v>
      </c>
      <c r="G54" s="4" t="s">
        <v>49</v>
      </c>
      <c r="H54" s="4" t="s">
        <v>45</v>
      </c>
      <c r="I54" s="4" t="s">
        <v>72</v>
      </c>
      <c r="J54" s="4" t="n">
        <v>540</v>
      </c>
      <c r="K54" s="5" t="n">
        <v>5487.58</v>
      </c>
      <c r="L54" s="5" t="n">
        <v>56805.59</v>
      </c>
      <c r="M54" s="5" t="n">
        <v>971.89</v>
      </c>
      <c r="N54" s="5" t="n">
        <v>1986.36</v>
      </c>
      <c r="O54" s="5" t="n">
        <v>53847.34</v>
      </c>
      <c r="P54" s="5" t="n">
        <v>9076.94</v>
      </c>
      <c r="Q54" s="5" t="n">
        <v>-1465.9</v>
      </c>
      <c r="R54" s="6" t="n">
        <v>0.141345</v>
      </c>
      <c r="S54" s="5" t="n">
        <v>46236.3</v>
      </c>
      <c r="T54" s="5" t="n">
        <v>33115.97</v>
      </c>
      <c r="U54" s="5" t="n">
        <v>2512.8</v>
      </c>
      <c r="V54" s="5" t="n">
        <v>830.53</v>
      </c>
      <c r="W54" s="5" t="n">
        <v>36459.3</v>
      </c>
      <c r="X54" s="6" t="n">
        <v>0.788543</v>
      </c>
      <c r="Y54" s="5" t="n">
        <v>1188.01</v>
      </c>
      <c r="Z54" s="5"/>
      <c r="AA54" s="5" t="n">
        <v>8588.99</v>
      </c>
      <c r="AB54" s="6" t="n">
        <v>0.185763</v>
      </c>
      <c r="AC54" s="5" t="n">
        <v>1556.54</v>
      </c>
      <c r="AD54" s="5" t="n">
        <v>1246.56</v>
      </c>
      <c r="AE54" s="5" t="n">
        <v>130.33</v>
      </c>
      <c r="AF54" s="5" t="n">
        <v>768.8</v>
      </c>
      <c r="AG54" s="5" t="n">
        <v>4886.76</v>
      </c>
      <c r="AH54" s="6" t="n">
        <v>0.105691</v>
      </c>
      <c r="AI54" s="5" t="n">
        <v>5.4876</v>
      </c>
      <c r="AJ54" s="5" t="n">
        <v>53.847</v>
      </c>
      <c r="AK54" s="5" t="n">
        <v>4.887</v>
      </c>
      <c r="AL54" s="5"/>
      <c r="AM54" s="5"/>
      <c r="AN54" s="7" t="str">
        <f aca="false">IF(AND(ISNUMBER(AM54),AM54&lt;&gt;0),AL54/AM54*365,"")</f>
        <v/>
      </c>
    </row>
    <row r="55" customFormat="false" ht="15" hidden="false" customHeight="true" outlineLevel="0" collapsed="false">
      <c r="A55" s="4" t="n">
        <v>52</v>
      </c>
      <c r="B55" s="4" t="s">
        <v>41</v>
      </c>
      <c r="C55" s="4" t="s">
        <v>42</v>
      </c>
      <c r="D55" s="4" t="s">
        <v>41</v>
      </c>
      <c r="E55" s="4" t="s">
        <v>42</v>
      </c>
      <c r="F55" s="4" t="s">
        <v>43</v>
      </c>
      <c r="G55" s="4" t="s">
        <v>44</v>
      </c>
      <c r="H55" s="4" t="s">
        <v>45</v>
      </c>
      <c r="I55" s="4" t="s">
        <v>88</v>
      </c>
      <c r="J55" s="4" t="n">
        <v>540</v>
      </c>
      <c r="K55" s="5" t="n">
        <v>1102.74</v>
      </c>
      <c r="L55" s="5" t="n">
        <v>10801.86</v>
      </c>
      <c r="M55" s="5" t="n">
        <v>44.75</v>
      </c>
      <c r="N55" s="5" t="n">
        <v>440.69</v>
      </c>
      <c r="O55" s="5" t="n">
        <v>10316.42</v>
      </c>
      <c r="P55" s="5" t="n">
        <v>1928.86</v>
      </c>
      <c r="Q55" s="5" t="n">
        <v>-169.48</v>
      </c>
      <c r="R55" s="6" t="n">
        <v>0.170542</v>
      </c>
      <c r="S55" s="5" t="n">
        <v>8557.04</v>
      </c>
      <c r="T55" s="5" t="n">
        <v>4921.02</v>
      </c>
      <c r="U55" s="5" t="n">
        <v>650.52</v>
      </c>
      <c r="V55" s="5" t="n">
        <v>86.06</v>
      </c>
      <c r="W55" s="5" t="n">
        <v>5657.6</v>
      </c>
      <c r="X55" s="6" t="n">
        <v>0.661163</v>
      </c>
      <c r="Y55" s="5" t="n">
        <v>391.5</v>
      </c>
      <c r="Z55" s="5"/>
      <c r="AA55" s="5" t="n">
        <v>2507.94</v>
      </c>
      <c r="AB55" s="6" t="n">
        <v>0.293085</v>
      </c>
      <c r="AC55" s="5" t="n">
        <v>293.85</v>
      </c>
      <c r="AD55" s="5" t="n">
        <v>107.82</v>
      </c>
      <c r="AE55" s="5" t="n">
        <v>17.14</v>
      </c>
      <c r="AF55" s="5" t="n">
        <v>100.5</v>
      </c>
      <c r="AG55" s="5" t="n">
        <v>1988.63</v>
      </c>
      <c r="AH55" s="6" t="n">
        <v>0.232397</v>
      </c>
      <c r="AI55" s="5" t="n">
        <v>1.1027</v>
      </c>
      <c r="AJ55" s="5" t="n">
        <v>10.316</v>
      </c>
      <c r="AK55" s="5" t="n">
        <v>1.989</v>
      </c>
      <c r="AL55" s="5" t="n">
        <v>750.47</v>
      </c>
      <c r="AM55" s="5" t="n">
        <v>5770.18</v>
      </c>
      <c r="AN55" s="7" t="n">
        <f aca="false">IF(AND(ISNUMBER(AM55),AM55&lt;&gt;0),AL55/AM55*365,"")</f>
        <v>47.471924619336</v>
      </c>
    </row>
    <row r="56" customFormat="false" ht="15" hidden="false" customHeight="true" outlineLevel="0" collapsed="false">
      <c r="A56" s="4" t="n">
        <v>53</v>
      </c>
      <c r="B56" s="4" t="s">
        <v>41</v>
      </c>
      <c r="C56" s="4" t="s">
        <v>47</v>
      </c>
      <c r="D56" s="4" t="s">
        <v>41</v>
      </c>
      <c r="E56" s="4" t="s">
        <v>47</v>
      </c>
      <c r="F56" s="4" t="s">
        <v>67</v>
      </c>
      <c r="G56" s="4" t="s">
        <v>49</v>
      </c>
      <c r="H56" s="4" t="s">
        <v>45</v>
      </c>
      <c r="I56" s="4" t="s">
        <v>88</v>
      </c>
      <c r="J56" s="4" t="n">
        <v>720</v>
      </c>
      <c r="K56" s="5" t="n">
        <v>484.64</v>
      </c>
      <c r="L56" s="5" t="n">
        <v>4020.62</v>
      </c>
      <c r="M56" s="5" t="n">
        <v>10.19</v>
      </c>
      <c r="N56" s="5" t="n">
        <v>205.24</v>
      </c>
      <c r="O56" s="5" t="n">
        <v>3805.19</v>
      </c>
      <c r="P56" s="5" t="n">
        <v>423.76</v>
      </c>
      <c r="Q56" s="5" t="n">
        <v>-12.09</v>
      </c>
      <c r="R56" s="6" t="n">
        <v>0.108186</v>
      </c>
      <c r="S56" s="5" t="n">
        <v>3393.52</v>
      </c>
      <c r="T56" s="5" t="n">
        <v>2125.05</v>
      </c>
      <c r="U56" s="5" t="n">
        <v>184.88</v>
      </c>
      <c r="V56" s="5" t="n">
        <v>74.23</v>
      </c>
      <c r="W56" s="5" t="n">
        <v>2384.16</v>
      </c>
      <c r="X56" s="6" t="n">
        <v>0.702563</v>
      </c>
      <c r="Y56" s="5" t="n">
        <v>113.89</v>
      </c>
      <c r="Z56" s="5"/>
      <c r="AA56" s="5" t="n">
        <v>895.47</v>
      </c>
      <c r="AB56" s="6" t="n">
        <v>0.263876</v>
      </c>
      <c r="AC56" s="5" t="n">
        <v>124.36</v>
      </c>
      <c r="AD56" s="5" t="n">
        <v>75.68</v>
      </c>
      <c r="AE56" s="5" t="n">
        <v>13.27</v>
      </c>
      <c r="AF56" s="5" t="n">
        <v>64.77</v>
      </c>
      <c r="AG56" s="5" t="n">
        <v>617.39</v>
      </c>
      <c r="AH56" s="6" t="n">
        <v>0.181932</v>
      </c>
      <c r="AI56" s="5" t="n">
        <v>0.4846</v>
      </c>
      <c r="AJ56" s="5" t="n">
        <v>3.805</v>
      </c>
      <c r="AK56" s="5" t="n">
        <v>0.617</v>
      </c>
      <c r="AL56" s="5" t="n">
        <v>443.42</v>
      </c>
      <c r="AM56" s="5" t="n">
        <v>2301.5</v>
      </c>
      <c r="AN56" s="7" t="n">
        <f aca="false">IF(AND(ISNUMBER(AM56),AM56&lt;&gt;0),AL56/AM56*365,"")</f>
        <v>70.3229632848143</v>
      </c>
    </row>
    <row r="57" customFormat="false" ht="15" hidden="false" customHeight="true" outlineLevel="0" collapsed="false">
      <c r="A57" s="4" t="n">
        <v>54</v>
      </c>
      <c r="B57" s="4" t="s">
        <v>52</v>
      </c>
      <c r="C57" s="4" t="s">
        <v>79</v>
      </c>
      <c r="D57" s="4" t="s">
        <v>54</v>
      </c>
      <c r="E57" s="4" t="s">
        <v>79</v>
      </c>
      <c r="F57" s="4" t="s">
        <v>67</v>
      </c>
      <c r="G57" s="4" t="s">
        <v>56</v>
      </c>
      <c r="H57" s="4" t="s">
        <v>50</v>
      </c>
      <c r="I57" s="4" t="s">
        <v>77</v>
      </c>
      <c r="J57" s="4" t="n">
        <v>800</v>
      </c>
      <c r="K57" s="5" t="n">
        <v>8327.34</v>
      </c>
      <c r="L57" s="5" t="n">
        <v>74702.96</v>
      </c>
      <c r="M57" s="5" t="n">
        <v>1359.15</v>
      </c>
      <c r="N57" s="5" t="n">
        <v>2515.59</v>
      </c>
      <c r="O57" s="5" t="n">
        <v>70828.22</v>
      </c>
      <c r="P57" s="5" t="n">
        <v>7655.05</v>
      </c>
      <c r="Q57" s="5" t="n">
        <v>-2154.23</v>
      </c>
      <c r="R57" s="6" t="n">
        <v>0.077664</v>
      </c>
      <c r="S57" s="5" t="n">
        <v>65327.4</v>
      </c>
      <c r="T57" s="5" t="n">
        <v>36659.51</v>
      </c>
      <c r="U57" s="5" t="n">
        <v>3331.74</v>
      </c>
      <c r="V57" s="5" t="n">
        <v>1480.42</v>
      </c>
      <c r="W57" s="5" t="n">
        <v>41471.67</v>
      </c>
      <c r="X57" s="6" t="n">
        <v>0.634828</v>
      </c>
      <c r="Y57" s="5" t="n">
        <v>2381.23</v>
      </c>
      <c r="Z57" s="5"/>
      <c r="AA57" s="5" t="n">
        <v>21474.5</v>
      </c>
      <c r="AB57" s="6" t="n">
        <v>0.328721</v>
      </c>
      <c r="AC57" s="5" t="n">
        <v>2597.13</v>
      </c>
      <c r="AD57" s="5" t="n">
        <v>1952.8</v>
      </c>
      <c r="AE57" s="5" t="n">
        <v>203.97</v>
      </c>
      <c r="AF57" s="5" t="n">
        <v>949.67</v>
      </c>
      <c r="AG57" s="5" t="n">
        <v>15770.93</v>
      </c>
      <c r="AH57" s="6" t="n">
        <v>0.241414</v>
      </c>
      <c r="AI57" s="5" t="n">
        <v>8.3273</v>
      </c>
      <c r="AJ57" s="5" t="n">
        <v>70.828</v>
      </c>
      <c r="AK57" s="5" t="n">
        <v>15.771</v>
      </c>
      <c r="AL57" s="5" t="n">
        <v>4815.57</v>
      </c>
      <c r="AM57" s="5" t="n">
        <v>44554.19</v>
      </c>
      <c r="AN57" s="7" t="n">
        <f aca="false">IF(AND(ISNUMBER(AM57),AM57&lt;&gt;0),AL57/AM57*365,"")</f>
        <v>39.4504546037084</v>
      </c>
    </row>
    <row r="58" customFormat="false" ht="15" hidden="false" customHeight="true" outlineLevel="0" collapsed="false">
      <c r="A58" s="4" t="n">
        <v>55</v>
      </c>
      <c r="B58" s="4" t="s">
        <v>61</v>
      </c>
      <c r="C58" s="4" t="s">
        <v>42</v>
      </c>
      <c r="D58" s="4" t="s">
        <v>54</v>
      </c>
      <c r="E58" s="4" t="s">
        <v>42</v>
      </c>
      <c r="F58" s="4" t="s">
        <v>67</v>
      </c>
      <c r="G58" s="4" t="s">
        <v>44</v>
      </c>
      <c r="H58" s="4" t="s">
        <v>50</v>
      </c>
      <c r="I58" s="4" t="s">
        <v>76</v>
      </c>
      <c r="J58" s="4" t="n">
        <v>540</v>
      </c>
      <c r="K58" s="5" t="n">
        <v>5141.62</v>
      </c>
      <c r="L58" s="5" t="n">
        <v>51324.98</v>
      </c>
      <c r="M58" s="5" t="n">
        <v>409.3</v>
      </c>
      <c r="N58" s="5" t="n">
        <v>3412.12</v>
      </c>
      <c r="O58" s="5" t="n">
        <v>47503.56</v>
      </c>
      <c r="P58" s="5" t="n">
        <v>6235.07</v>
      </c>
      <c r="Q58" s="5" t="n">
        <v>-742.3</v>
      </c>
      <c r="R58" s="6" t="n">
        <v>0.115629</v>
      </c>
      <c r="S58" s="5" t="n">
        <v>42010.79</v>
      </c>
      <c r="T58" s="5" t="n">
        <v>24926.32</v>
      </c>
      <c r="U58" s="5" t="n">
        <v>3282.88</v>
      </c>
      <c r="V58" s="5" t="n">
        <v>997.19</v>
      </c>
      <c r="W58" s="5" t="n">
        <v>29206.39</v>
      </c>
      <c r="X58" s="6" t="n">
        <v>0.695212</v>
      </c>
      <c r="Y58" s="5" t="n">
        <v>1437.95</v>
      </c>
      <c r="Z58" s="5"/>
      <c r="AA58" s="5" t="n">
        <v>11366.45</v>
      </c>
      <c r="AB58" s="6" t="n">
        <v>0.27056</v>
      </c>
      <c r="AC58" s="5" t="n">
        <v>1375.3</v>
      </c>
      <c r="AD58" s="5" t="n">
        <v>491.83</v>
      </c>
      <c r="AE58" s="5" t="n">
        <v>114.58</v>
      </c>
      <c r="AF58" s="5" t="n">
        <v>732.92</v>
      </c>
      <c r="AG58" s="5" t="n">
        <v>8651.82</v>
      </c>
      <c r="AH58" s="6" t="n">
        <v>0.205943</v>
      </c>
      <c r="AI58" s="5" t="n">
        <v>5.1416</v>
      </c>
      <c r="AJ58" s="5" t="n">
        <v>47.504</v>
      </c>
      <c r="AK58" s="5" t="n">
        <v>8.652</v>
      </c>
      <c r="AL58" s="5" t="n">
        <v>4828.68</v>
      </c>
      <c r="AM58" s="5" t="n">
        <v>31912.3</v>
      </c>
      <c r="AN58" s="7" t="n">
        <f aca="false">IF(AND(ISNUMBER(AM58),AM58&lt;&gt;0),AL58/AM58*365,"")</f>
        <v>55.2284918354365</v>
      </c>
    </row>
    <row r="59" customFormat="false" ht="15" hidden="false" customHeight="true" outlineLevel="0" collapsed="false">
      <c r="A59" s="4" t="n">
        <v>56</v>
      </c>
      <c r="B59" s="4" t="s">
        <v>52</v>
      </c>
      <c r="C59" s="4" t="s">
        <v>47</v>
      </c>
      <c r="D59" s="4" t="s">
        <v>54</v>
      </c>
      <c r="E59" s="4" t="s">
        <v>47</v>
      </c>
      <c r="F59" s="4" t="s">
        <v>67</v>
      </c>
      <c r="G59" s="4" t="s">
        <v>49</v>
      </c>
      <c r="H59" s="4" t="s">
        <v>63</v>
      </c>
      <c r="I59" s="4" t="s">
        <v>86</v>
      </c>
      <c r="J59" s="4" t="n">
        <v>800</v>
      </c>
      <c r="K59" s="5" t="n">
        <v>4437.1</v>
      </c>
      <c r="L59" s="5" t="n">
        <v>42134.8</v>
      </c>
      <c r="M59" s="5" t="n">
        <v>632.26</v>
      </c>
      <c r="N59" s="5" t="n">
        <v>3092.89</v>
      </c>
      <c r="O59" s="5" t="n">
        <v>38409.65</v>
      </c>
      <c r="P59" s="5" t="n">
        <v>6610.53</v>
      </c>
      <c r="Q59" s="5" t="n">
        <v>-1859.79</v>
      </c>
      <c r="R59" s="6" t="n">
        <v>0.123686</v>
      </c>
      <c r="S59" s="5" t="n">
        <v>33658.91</v>
      </c>
      <c r="T59" s="5" t="n">
        <v>21947.96</v>
      </c>
      <c r="U59" s="5" t="n">
        <v>1819.8</v>
      </c>
      <c r="V59" s="5" t="n">
        <v>725.63</v>
      </c>
      <c r="W59" s="5" t="n">
        <v>24493.39</v>
      </c>
      <c r="X59" s="6" t="n">
        <v>0.727694</v>
      </c>
      <c r="Y59" s="5" t="n">
        <v>887.99</v>
      </c>
      <c r="Z59" s="5"/>
      <c r="AA59" s="5" t="n">
        <v>8277.53</v>
      </c>
      <c r="AB59" s="6" t="n">
        <v>0.245924</v>
      </c>
      <c r="AC59" s="5" t="n">
        <v>1672.92</v>
      </c>
      <c r="AD59" s="5" t="n">
        <v>487.55</v>
      </c>
      <c r="AE59" s="5" t="n">
        <v>48.23</v>
      </c>
      <c r="AF59" s="5" t="n">
        <v>621.13</v>
      </c>
      <c r="AG59" s="5" t="n">
        <v>5447.7</v>
      </c>
      <c r="AH59" s="6" t="n">
        <v>0.16185</v>
      </c>
      <c r="AI59" s="5" t="n">
        <v>4.4371</v>
      </c>
      <c r="AJ59" s="5" t="n">
        <v>38.41</v>
      </c>
      <c r="AK59" s="5" t="n">
        <v>5.448</v>
      </c>
      <c r="AL59" s="5" t="n">
        <v>7196.25</v>
      </c>
      <c r="AM59" s="5" t="n">
        <v>25264.34</v>
      </c>
      <c r="AN59" s="7" t="n">
        <f aca="false">IF(AND(ISNUMBER(AM59),AM59&lt;&gt;0),AL59/AM59*365,"")</f>
        <v>103.965955572162</v>
      </c>
    </row>
    <row r="60" customFormat="false" ht="15" hidden="false" customHeight="true" outlineLevel="0" collapsed="false">
      <c r="A60" s="4" t="n">
        <v>57</v>
      </c>
      <c r="B60" s="4" t="s">
        <v>52</v>
      </c>
      <c r="C60" s="4" t="s">
        <v>42</v>
      </c>
      <c r="D60" s="4" t="s">
        <v>54</v>
      </c>
      <c r="E60" s="4" t="s">
        <v>42</v>
      </c>
      <c r="F60" s="4" t="s">
        <v>43</v>
      </c>
      <c r="G60" s="4" t="s">
        <v>44</v>
      </c>
      <c r="H60" s="4" t="s">
        <v>50</v>
      </c>
      <c r="I60" s="4" t="s">
        <v>60</v>
      </c>
      <c r="J60" s="4" t="n">
        <v>1000</v>
      </c>
      <c r="K60" s="5" t="n">
        <v>7478.81</v>
      </c>
      <c r="L60" s="5" t="n">
        <v>70510.95</v>
      </c>
      <c r="M60" s="5" t="n">
        <v>37.02</v>
      </c>
      <c r="N60" s="5" t="n">
        <v>5390.86</v>
      </c>
      <c r="O60" s="5" t="n">
        <v>65083.07</v>
      </c>
      <c r="P60" s="5" t="n">
        <v>11906.69</v>
      </c>
      <c r="Q60" s="5" t="n">
        <v>-870.32</v>
      </c>
      <c r="R60" s="6" t="n">
        <v>0.169574</v>
      </c>
      <c r="S60" s="5" t="n">
        <v>54046.7</v>
      </c>
      <c r="T60" s="5" t="n">
        <v>31383.34</v>
      </c>
      <c r="U60" s="5" t="n">
        <v>3681.01</v>
      </c>
      <c r="V60" s="5" t="n">
        <v>874.46</v>
      </c>
      <c r="W60" s="5" t="n">
        <v>35938.81</v>
      </c>
      <c r="X60" s="6" t="n">
        <v>0.664958</v>
      </c>
      <c r="Y60" s="5" t="n">
        <v>1631.93</v>
      </c>
      <c r="Z60" s="5"/>
      <c r="AA60" s="5" t="n">
        <v>16475.96</v>
      </c>
      <c r="AB60" s="6" t="n">
        <v>0.304847</v>
      </c>
      <c r="AC60" s="5" t="n">
        <v>1631.3</v>
      </c>
      <c r="AD60" s="5" t="n">
        <v>1480.73</v>
      </c>
      <c r="AE60" s="5" t="n">
        <v>176.48</v>
      </c>
      <c r="AF60" s="5" t="n">
        <v>757.08</v>
      </c>
      <c r="AG60" s="5" t="n">
        <v>12430.37</v>
      </c>
      <c r="AH60" s="6" t="n">
        <v>0.229993</v>
      </c>
      <c r="AI60" s="5" t="n">
        <v>7.4788</v>
      </c>
      <c r="AJ60" s="5" t="n">
        <v>65.083</v>
      </c>
      <c r="AK60" s="5" t="n">
        <v>12.43</v>
      </c>
      <c r="AL60" s="5"/>
      <c r="AM60" s="5"/>
      <c r="AN60" s="7" t="str">
        <f aca="false">IF(AND(ISNUMBER(AM60),AM60&lt;&gt;0),AL60/AM60*365,"")</f>
        <v/>
      </c>
    </row>
    <row r="61" customFormat="false" ht="15" hidden="false" customHeight="true" outlineLevel="0" collapsed="false">
      <c r="A61" s="4" t="n">
        <v>58</v>
      </c>
      <c r="B61" s="4" t="s">
        <v>58</v>
      </c>
      <c r="C61" s="4" t="s">
        <v>42</v>
      </c>
      <c r="D61" s="4" t="s">
        <v>54</v>
      </c>
      <c r="E61" s="4" t="s">
        <v>42</v>
      </c>
      <c r="F61" s="4" t="s">
        <v>67</v>
      </c>
      <c r="G61" s="4" t="s">
        <v>44</v>
      </c>
      <c r="H61" s="4" t="s">
        <v>50</v>
      </c>
      <c r="I61" s="4" t="s">
        <v>77</v>
      </c>
      <c r="J61" s="4" t="n">
        <v>800</v>
      </c>
      <c r="K61" s="5" t="n">
        <v>4288.48</v>
      </c>
      <c r="L61" s="5" t="n">
        <v>36924.5</v>
      </c>
      <c r="M61" s="5" t="n">
        <v>532.89</v>
      </c>
      <c r="N61" s="5" t="n">
        <v>2541.95</v>
      </c>
      <c r="O61" s="5" t="n">
        <v>33849.66</v>
      </c>
      <c r="P61" s="5" t="n">
        <v>5306.25</v>
      </c>
      <c r="Q61" s="5" t="n">
        <v>-143.79</v>
      </c>
      <c r="R61" s="6" t="n">
        <v>0.152511</v>
      </c>
      <c r="S61" s="5" t="n">
        <v>28687.2</v>
      </c>
      <c r="T61" s="5" t="n">
        <v>16034.52</v>
      </c>
      <c r="U61" s="5" t="n">
        <v>1328.11</v>
      </c>
      <c r="V61" s="5" t="n">
        <v>641.35</v>
      </c>
      <c r="W61" s="5" t="n">
        <v>18003.98</v>
      </c>
      <c r="X61" s="6" t="n">
        <v>0.627596</v>
      </c>
      <c r="Y61" s="5" t="n">
        <v>1153.77</v>
      </c>
      <c r="Z61" s="5"/>
      <c r="AA61" s="5" t="n">
        <v>9529.45</v>
      </c>
      <c r="AB61" s="6" t="n">
        <v>0.332185</v>
      </c>
      <c r="AC61" s="5" t="n">
        <v>1094.79</v>
      </c>
      <c r="AD61" s="5" t="n">
        <v>666.66</v>
      </c>
      <c r="AE61" s="5" t="n">
        <v>84.42</v>
      </c>
      <c r="AF61" s="5" t="n">
        <v>413.68</v>
      </c>
      <c r="AG61" s="5" t="n">
        <v>7269.9</v>
      </c>
      <c r="AH61" s="6" t="n">
        <v>0.25342</v>
      </c>
      <c r="AI61" s="5" t="n">
        <v>4.2885</v>
      </c>
      <c r="AJ61" s="5" t="n">
        <v>33.85</v>
      </c>
      <c r="AK61" s="5" t="n">
        <v>7.27</v>
      </c>
      <c r="AL61" s="5" t="n">
        <v>4334.88</v>
      </c>
      <c r="AM61" s="5" t="n">
        <v>18983.93</v>
      </c>
      <c r="AN61" s="7" t="n">
        <f aca="false">IF(AND(ISNUMBER(AM61),AM61&lt;&gt;0),AL61/AM61*365,"")</f>
        <v>83.3458193324565</v>
      </c>
    </row>
    <row r="62" customFormat="false" ht="15" hidden="false" customHeight="true" outlineLevel="0" collapsed="false">
      <c r="A62" s="4" t="n">
        <v>59</v>
      </c>
      <c r="B62" s="4" t="s">
        <v>52</v>
      </c>
      <c r="C62" s="4" t="s">
        <v>47</v>
      </c>
      <c r="D62" s="4" t="s">
        <v>54</v>
      </c>
      <c r="E62" s="4" t="s">
        <v>47</v>
      </c>
      <c r="F62" s="4" t="s">
        <v>67</v>
      </c>
      <c r="G62" s="4" t="s">
        <v>49</v>
      </c>
      <c r="H62" s="4" t="s">
        <v>50</v>
      </c>
      <c r="I62" s="4" t="s">
        <v>82</v>
      </c>
      <c r="J62" s="4" t="n">
        <v>720</v>
      </c>
      <c r="K62" s="5" t="n">
        <v>8235.15</v>
      </c>
      <c r="L62" s="5" t="n">
        <v>76417.27</v>
      </c>
      <c r="M62" s="5" t="n">
        <v>805.34</v>
      </c>
      <c r="N62" s="5" t="n">
        <v>3470.95</v>
      </c>
      <c r="O62" s="5" t="n">
        <v>72140.98</v>
      </c>
      <c r="P62" s="5" t="n">
        <v>8804.94</v>
      </c>
      <c r="Q62" s="5" t="n">
        <v>-3550.94</v>
      </c>
      <c r="R62" s="6" t="n">
        <v>0.07283</v>
      </c>
      <c r="S62" s="5" t="n">
        <v>66886.98</v>
      </c>
      <c r="T62" s="5" t="n">
        <v>37410.75</v>
      </c>
      <c r="U62" s="5" t="n">
        <v>3222.41</v>
      </c>
      <c r="V62" s="5" t="n">
        <v>1933.47</v>
      </c>
      <c r="W62" s="5" t="n">
        <v>42566.63</v>
      </c>
      <c r="X62" s="6" t="n">
        <v>0.636396</v>
      </c>
      <c r="Y62" s="5" t="n">
        <v>2877.51</v>
      </c>
      <c r="Z62" s="5"/>
      <c r="AA62" s="5" t="n">
        <v>21442.84</v>
      </c>
      <c r="AB62" s="6" t="n">
        <v>0.320583</v>
      </c>
      <c r="AC62" s="5" t="n">
        <v>3539.98</v>
      </c>
      <c r="AD62" s="5" t="n">
        <v>1056.07</v>
      </c>
      <c r="AE62" s="5" t="n">
        <v>98.99</v>
      </c>
      <c r="AF62" s="5" t="n">
        <v>1001.56</v>
      </c>
      <c r="AG62" s="5" t="n">
        <v>15746.24</v>
      </c>
      <c r="AH62" s="6" t="n">
        <v>0.235416</v>
      </c>
      <c r="AI62" s="5" t="n">
        <v>8.2351</v>
      </c>
      <c r="AJ62" s="5" t="n">
        <v>72.141</v>
      </c>
      <c r="AK62" s="5" t="n">
        <v>15.746</v>
      </c>
      <c r="AL62" s="5" t="n">
        <v>11887.3</v>
      </c>
      <c r="AM62" s="5" t="n">
        <v>41504.86</v>
      </c>
      <c r="AN62" s="7" t="n">
        <f aca="false">IF(AND(ISNUMBER(AM62),AM62&lt;&gt;0),AL62/AM62*365,"")</f>
        <v>104.538709442701</v>
      </c>
    </row>
    <row r="63" customFormat="false" ht="15" hidden="false" customHeight="true" outlineLevel="0" collapsed="false">
      <c r="A63" s="4" t="n">
        <v>60</v>
      </c>
      <c r="B63" s="4" t="s">
        <v>61</v>
      </c>
      <c r="C63" s="4" t="s">
        <v>47</v>
      </c>
      <c r="D63" s="4" t="s">
        <v>54</v>
      </c>
      <c r="E63" s="4" t="s">
        <v>47</v>
      </c>
      <c r="F63" s="4" t="s">
        <v>55</v>
      </c>
      <c r="G63" s="4" t="s">
        <v>59</v>
      </c>
      <c r="H63" s="4" t="s">
        <v>63</v>
      </c>
      <c r="I63" s="4" t="s">
        <v>68</v>
      </c>
      <c r="J63" s="4" t="n">
        <v>1000</v>
      </c>
      <c r="K63" s="5" t="n">
        <v>6837.07</v>
      </c>
      <c r="L63" s="5" t="n">
        <v>64980.5</v>
      </c>
      <c r="M63" s="5" t="n">
        <v>460.28</v>
      </c>
      <c r="N63" s="5" t="n">
        <v>3239.51</v>
      </c>
      <c r="O63" s="5" t="n">
        <v>61280.71</v>
      </c>
      <c r="P63" s="5" t="n">
        <v>10675.35</v>
      </c>
      <c r="Q63" s="5" t="n">
        <v>-1336.59</v>
      </c>
      <c r="R63" s="6" t="n">
        <v>0.152393</v>
      </c>
      <c r="S63" s="5" t="n">
        <v>51941.95</v>
      </c>
      <c r="T63" s="5" t="n">
        <v>32627.76</v>
      </c>
      <c r="U63" s="5" t="n">
        <v>2239.45</v>
      </c>
      <c r="V63" s="5" t="n">
        <v>844.64</v>
      </c>
      <c r="W63" s="5" t="n">
        <v>35711.85</v>
      </c>
      <c r="X63" s="6" t="n">
        <v>0.687534</v>
      </c>
      <c r="Y63" s="5" t="n">
        <v>1707.77</v>
      </c>
      <c r="Z63" s="5"/>
      <c r="AA63" s="5" t="n">
        <v>14522.33</v>
      </c>
      <c r="AB63" s="6" t="n">
        <v>0.279588</v>
      </c>
      <c r="AC63" s="5" t="n">
        <v>2188.45</v>
      </c>
      <c r="AD63" s="5" t="n">
        <v>1184.42</v>
      </c>
      <c r="AE63" s="5" t="n">
        <v>112.09</v>
      </c>
      <c r="AF63" s="5" t="n">
        <v>729.8</v>
      </c>
      <c r="AG63" s="5" t="n">
        <v>10307.57</v>
      </c>
      <c r="AH63" s="6" t="n">
        <v>0.198444</v>
      </c>
      <c r="AI63" s="5" t="n">
        <v>6.8371</v>
      </c>
      <c r="AJ63" s="5" t="n">
        <v>61.281</v>
      </c>
      <c r="AK63" s="5" t="n">
        <v>10.308</v>
      </c>
      <c r="AL63" s="5" t="n">
        <v>6784.17</v>
      </c>
      <c r="AM63" s="5" t="n">
        <v>38099.48</v>
      </c>
      <c r="AN63" s="7" t="n">
        <f aca="false">IF(AND(ISNUMBER(AM63),AM63&lt;&gt;0),AL63/AM63*365,"")</f>
        <v>64.9935917760557</v>
      </c>
    </row>
    <row r="64" customFormat="false" ht="15" hidden="false" customHeight="true" outlineLevel="0" collapsed="false">
      <c r="I64" s="8" t="s">
        <v>89</v>
      </c>
      <c r="K64" s="9" t="n">
        <f aca="false">SUM(K4:K63)</f>
        <v>412860.17</v>
      </c>
      <c r="L64" s="9" t="n">
        <f aca="false">SUM(L4:L63)</f>
        <v>3800092.43</v>
      </c>
      <c r="O64" s="9" t="n">
        <f aca="false">SUM(O4:O63)</f>
        <v>3555788.54</v>
      </c>
      <c r="S64" s="9" t="n">
        <f aca="false">SUM(S4:S63)</f>
        <v>3123723.06</v>
      </c>
      <c r="W64" s="9" t="n">
        <f aca="false">SUM(W4:W63)</f>
        <v>2225103.27</v>
      </c>
      <c r="AA64" s="9" t="n">
        <f aca="false">SUM(AA4:AA63)</f>
        <v>784347.08</v>
      </c>
      <c r="AG64" s="9" t="n">
        <f aca="false">SUM(AG4:AG63)</f>
        <v>528265.59</v>
      </c>
      <c r="AI64" s="9" t="n">
        <f aca="false">SUM(AI4:AI63)</f>
        <v>412.8602</v>
      </c>
      <c r="AJ64" s="9" t="n">
        <f aca="false">SUM(AJ4:AJ63)</f>
        <v>3555.789</v>
      </c>
      <c r="AK64" s="9" t="n">
        <f aca="false">SUM(AK4:AK63)</f>
        <v>528.269</v>
      </c>
      <c r="AL64" s="10" t="n">
        <f aca="false">SUM(AL4:AL63)</f>
        <v>474206.16</v>
      </c>
      <c r="AM64" s="10" t="n">
        <f aca="false">SUM(AM4:AM63)</f>
        <v>2015111.16</v>
      </c>
      <c r="AN64" s="11" t="n">
        <f aca="false">AL64/AM64*365</f>
        <v>85.8936478720112</v>
      </c>
    </row>
    <row r="67" customFormat="false" ht="15" hidden="false" customHeight="false" outlineLevel="0" collapsed="false">
      <c r="B67" s="12" t="s">
        <v>90</v>
      </c>
    </row>
    <row r="68" customFormat="false" ht="15" hidden="false" customHeight="false" outlineLevel="0" collapsed="false">
      <c r="B68" s="13" t="s">
        <v>91</v>
      </c>
      <c r="E68" s="11" t="n">
        <f aca="false">ROUND(AN64,1)</f>
        <v>85.9</v>
      </c>
    </row>
    <row r="69" customFormat="false" ht="15" hidden="false" customHeight="false" outlineLevel="0" collapsed="false">
      <c r="B69" s="13" t="s">
        <v>92</v>
      </c>
      <c r="E69" s="14" t="s">
        <v>93</v>
      </c>
    </row>
    <row r="70" customFormat="false" ht="15" hidden="false" customHeight="false" outlineLevel="0" collapsed="false">
      <c r="B70" s="13" t="s">
        <v>94</v>
      </c>
      <c r="E70" s="14" t="s">
        <v>95</v>
      </c>
    </row>
    <row r="71" customFormat="false" ht="15" hidden="false" customHeight="false" outlineLevel="0" collapsed="false">
      <c r="B71" s="13" t="s">
        <v>96</v>
      </c>
      <c r="E71" s="11" t="n">
        <f aca="false">ROUND(AN64,1)+45-38</f>
        <v>92.9</v>
      </c>
    </row>
    <row r="73" customFormat="false" ht="15" hidden="false" customHeight="false" outlineLevel="0" collapsed="false">
      <c r="B73" s="15" t="s">
        <v>97</v>
      </c>
    </row>
  </sheetData>
  <mergeCells count="1">
    <mergeCell ref="A1:A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2026-05-17T19:47:24Z</dcterms:created>
  <dc:creator>openpyxl</dc:creator>
  <dc:description/>
  <dc:language>en-US</dc:language>
  <cp:lastModifiedBy/>
  <dcterms:modified xsi:type="dcterms:W3CDTF">2026-05-17T20:22:36Z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